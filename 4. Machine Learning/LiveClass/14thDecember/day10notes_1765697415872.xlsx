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bman\IITK AIML - Machine Learning - NOV\Training\DAY_10_14_DEC_2025\"/>
    </mc:Choice>
  </mc:AlternateContent>
  <xr:revisionPtr revIDLastSave="0" documentId="13_ncr:1_{3D042533-ED0C-418C-B522-6B3DAF65BAF6}" xr6:coauthVersionLast="47" xr6:coauthVersionMax="47" xr10:uidLastSave="{00000000-0000-0000-0000-000000000000}"/>
  <bookViews>
    <workbookView xWindow="-108" yWindow="-108" windowWidth="23256" windowHeight="12456" firstSheet="5" activeTab="12" xr2:uid="{ACBBB57E-6586-4C20-8717-15EF40F2AD08}"/>
  </bookViews>
  <sheets>
    <sheet name="DAY 1 - 1" sheetId="8" r:id="rId1"/>
    <sheet name="DAY 2 - 1" sheetId="9" r:id="rId2"/>
    <sheet name="REG OUTPUT" sheetId="13" r:id="rId3"/>
    <sheet name="DAY 2 - 2" sheetId="10" r:id="rId4"/>
    <sheet name="DAY 3 - 1" sheetId="14" r:id="rId5"/>
    <sheet name="DAY 4 - 1" sheetId="15" r:id="rId6"/>
    <sheet name="DAY 5 -1" sheetId="16" r:id="rId7"/>
    <sheet name="DAY 5 - 2" sheetId="17" r:id="rId8"/>
    <sheet name="DAY 6 - 1" sheetId="18" r:id="rId9"/>
    <sheet name="DAY 7 - 1" sheetId="19" r:id="rId10"/>
    <sheet name="DAY 7 -2" sheetId="20" r:id="rId11"/>
    <sheet name="DAY 9 - 1" sheetId="21" r:id="rId12"/>
    <sheet name="DAY 10 - 1" sheetId="2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8" l="1"/>
  <c r="K12" i="18"/>
  <c r="G24" i="16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" i="15"/>
  <c r="E10" i="13"/>
  <c r="G9" i="10"/>
  <c r="G8" i="10"/>
  <c r="G3" i="10"/>
  <c r="G4" i="10"/>
  <c r="G5" i="10"/>
  <c r="G6" i="10"/>
  <c r="G7" i="10"/>
  <c r="G2" i="10"/>
  <c r="I9" i="10"/>
  <c r="F9" i="10"/>
  <c r="F3" i="10"/>
  <c r="F4" i="10"/>
  <c r="F5" i="10"/>
  <c r="F6" i="10"/>
  <c r="F7" i="10"/>
  <c r="F8" i="10"/>
  <c r="F11" i="10"/>
  <c r="F12" i="10"/>
  <c r="F2" i="10"/>
  <c r="E9" i="10"/>
  <c r="E3" i="10"/>
  <c r="E4" i="10"/>
  <c r="E5" i="10"/>
  <c r="E6" i="10"/>
  <c r="E7" i="10"/>
  <c r="E8" i="10"/>
  <c r="E2" i="10"/>
  <c r="C9" i="10"/>
  <c r="C7" i="13"/>
  <c r="E5" i="13"/>
  <c r="F21" i="13"/>
  <c r="C5" i="13"/>
  <c r="D3" i="10"/>
  <c r="D4" i="10"/>
  <c r="D5" i="10"/>
  <c r="D6" i="10"/>
  <c r="D7" i="10"/>
  <c r="D8" i="10"/>
  <c r="D2" i="10"/>
  <c r="C16" i="10" s="1"/>
  <c r="C11" i="10"/>
  <c r="C12" i="10" s="1"/>
  <c r="D12" i="10" s="1"/>
  <c r="A8" i="9" l="1"/>
  <c r="C5" i="9"/>
  <c r="E5" i="9" s="1"/>
  <c r="C4" i="9"/>
  <c r="E4" i="9" s="1"/>
  <c r="C3" i="9"/>
  <c r="E3" i="9" s="1"/>
  <c r="K26" i="8"/>
  <c r="K25" i="8"/>
  <c r="H26" i="8"/>
  <c r="H25" i="8"/>
  <c r="F26" i="8"/>
  <c r="F25" i="8"/>
  <c r="E8" i="9" l="1"/>
  <c r="E9" i="9" s="1"/>
  <c r="F9" i="9" s="1"/>
  <c r="E7" i="9"/>
  <c r="D3" i="9"/>
  <c r="F3" i="9" s="1"/>
  <c r="D5" i="9"/>
  <c r="F5" i="9" s="1"/>
  <c r="D4" i="9"/>
  <c r="F4" i="9" s="1"/>
  <c r="F10" i="9" l="1"/>
</calcChain>
</file>

<file path=xl/sharedStrings.xml><?xml version="1.0" encoding="utf-8"?>
<sst xmlns="http://schemas.openxmlformats.org/spreadsheetml/2006/main" count="307" uniqueCount="251">
  <si>
    <t>NAME</t>
  </si>
  <si>
    <t>ADDRESS</t>
  </si>
  <si>
    <t>AGE</t>
  </si>
  <si>
    <t>EXP</t>
  </si>
  <si>
    <t>THS</t>
  </si>
  <si>
    <t>CUR LOANS</t>
  </si>
  <si>
    <t>EMI</t>
  </si>
  <si>
    <t>DISP INC</t>
  </si>
  <si>
    <t>CS</t>
  </si>
  <si>
    <t>FLAG</t>
  </si>
  <si>
    <t>DEF</t>
  </si>
  <si>
    <t>ND</t>
  </si>
  <si>
    <t>DEF/NOT</t>
  </si>
  <si>
    <t>ELEPHANT</t>
  </si>
  <si>
    <t>CAT</t>
  </si>
  <si>
    <t>DOG</t>
  </si>
  <si>
    <t>TEMPR</t>
  </si>
  <si>
    <t>JERSEY NUMBER INFIAN CRICKET TEAM</t>
  </si>
  <si>
    <t>ZIP CODE</t>
  </si>
  <si>
    <t>LOC A</t>
  </si>
  <si>
    <t>LOCB</t>
  </si>
  <si>
    <t>LOC C</t>
  </si>
  <si>
    <t>Ht</t>
  </si>
  <si>
    <t>Wt</t>
  </si>
  <si>
    <t>X1</t>
  </si>
  <si>
    <t>X2</t>
  </si>
  <si>
    <t>COMPONENT OR A FACTOR</t>
  </si>
  <si>
    <t>PERSONALITY</t>
  </si>
  <si>
    <t>QUAL</t>
  </si>
  <si>
    <t>IQ</t>
  </si>
  <si>
    <t>MATURITY</t>
  </si>
  <si>
    <t>LIVE - STADIUM</t>
  </si>
  <si>
    <t>VIRAT KOHLY</t>
  </si>
  <si>
    <t>3D</t>
  </si>
  <si>
    <t>HT, WT, DEPTH</t>
  </si>
  <si>
    <t>LIVE ON TV</t>
  </si>
  <si>
    <t>HT, WT</t>
  </si>
  <si>
    <t>2D</t>
  </si>
  <si>
    <t>GROSS INCOME</t>
  </si>
  <si>
    <t>TAX</t>
  </si>
  <si>
    <t>TAKE HOME INCOME</t>
  </si>
  <si>
    <t>X3</t>
  </si>
  <si>
    <t>THI = GI - TAX</t>
  </si>
  <si>
    <t>TAX + THI = GI</t>
  </si>
  <si>
    <t>PRED SALES</t>
  </si>
  <si>
    <t>ACT SALES</t>
  </si>
  <si>
    <t>ERROR</t>
  </si>
  <si>
    <t>ABS(ERROR)</t>
  </si>
  <si>
    <t>SQ-ERROR</t>
  </si>
  <si>
    <t>MSE</t>
  </si>
  <si>
    <t>RMSE</t>
  </si>
  <si>
    <t>min(SSE)</t>
  </si>
  <si>
    <t>BEST FIT LINE</t>
  </si>
  <si>
    <t>ERROR AS A % OF ACT</t>
  </si>
  <si>
    <t>SSE/SSR</t>
  </si>
  <si>
    <t>MAPE</t>
  </si>
  <si>
    <t>SUM SQUARED ERROR OR RESIDUAL</t>
  </si>
  <si>
    <t>MEAN SQUARED ERROR</t>
  </si>
  <si>
    <t>ROOT MEAN SQUARED ERROR</t>
  </si>
  <si>
    <t>MEAN ABSOLUTE PERCENTAGE ERROR</t>
  </si>
  <si>
    <t>y</t>
  </si>
  <si>
    <t>Y ^</t>
  </si>
  <si>
    <t>SST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</si>
  <si>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</si>
  <si>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</si>
  <si>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</si>
  <si>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</si>
  <si>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</si>
  <si>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</si>
  <si>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</si>
  <si>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</si>
  <si>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</si>
  <si>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</si>
  <si>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</si>
  <si>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</si>
  <si>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</si>
  <si>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</si>
  <si>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</si>
  <si>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</si>
  <si>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</si>
  <si>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</si>
  <si>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</si>
  <si>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</si>
  <si>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</si>
  <si>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</si>
  <si>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</si>
  <si>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</si>
  <si>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PE (IN LAKHS)</t>
  </si>
  <si>
    <t>Y (1000 UNITS)</t>
  </si>
  <si>
    <t>SLR</t>
  </si>
  <si>
    <t xml:space="preserve">UNITS = -0.0172413793103434 + 1.43103448275862 * PE </t>
  </si>
  <si>
    <t>CORRELATION</t>
  </si>
  <si>
    <t>r</t>
  </si>
  <si>
    <t>Value b/w -1 TO +1</t>
  </si>
  <si>
    <t>POSITIVE</t>
  </si>
  <si>
    <t>SLR MODEL</t>
  </si>
  <si>
    <t>INFERENCE MODEL</t>
  </si>
  <si>
    <t>y = beta0 + beta 1 * PE</t>
  </si>
  <si>
    <t>PREDICTIVE MODEL</t>
  </si>
  <si>
    <t>PREDICTIONS</t>
  </si>
  <si>
    <t>CORRELATION SQUARED</t>
  </si>
  <si>
    <t>T SQUARED</t>
  </si>
  <si>
    <t>VALUE B/W -1 TO +1</t>
  </si>
  <si>
    <t>0 &amp; 1 --&gt; [0,1]</t>
  </si>
  <si>
    <t>0.05 or 5%</t>
  </si>
  <si>
    <t>LOWER THE P-VALUE THE BETTER IS THE SIGNIFICANCE</t>
  </si>
  <si>
    <t>HYPOTHESIS:</t>
  </si>
  <si>
    <t>ALT: PE DOES MATTER</t>
  </si>
  <si>
    <t>REJECT THE NULL HYPOTHESIS</t>
  </si>
  <si>
    <t xml:space="preserve">NULL: PE DOES NOT MATTER </t>
  </si>
  <si>
    <t>HIGHER THE p-VALUE LOWER THE SIGNIFICANCE</t>
  </si>
  <si>
    <t>WHEN THE P IS LOW (LOWER THAN FOR EXMPLE 5%), NULL WILL GO</t>
  </si>
  <si>
    <t>GIGO</t>
  </si>
  <si>
    <t>GARBAGE IN GARBAGE OUT</t>
  </si>
  <si>
    <t>ONLY ACCOUNTS FOR SIGNIFICANT VARIABLES</t>
  </si>
  <si>
    <t>MEAN SQUARED ERROR IS NOT ADDITIVE AND THUS NO SUM DISPALYED</t>
  </si>
  <si>
    <t>AVERAGE OF Y</t>
  </si>
  <si>
    <t>RSS  - EXPLAINED</t>
  </si>
  <si>
    <t>ESS - UNEXPLAINED</t>
  </si>
  <si>
    <t>TSS</t>
  </si>
  <si>
    <t xml:space="preserve">K-FOLD </t>
  </si>
  <si>
    <t>K = 10</t>
  </si>
  <si>
    <t>total = 1000</t>
  </si>
  <si>
    <t>YELLO</t>
  </si>
  <si>
    <t>TRAINING</t>
  </si>
  <si>
    <t xml:space="preserve">BLUE </t>
  </si>
  <si>
    <t>TEST</t>
  </si>
  <si>
    <t>K = 5</t>
  </si>
  <si>
    <t>k-1</t>
  </si>
  <si>
    <t>JAN</t>
  </si>
  <si>
    <t>FEB</t>
  </si>
  <si>
    <t>OCT</t>
  </si>
  <si>
    <t>10 OBS</t>
  </si>
  <si>
    <t>100 RECORDS</t>
  </si>
  <si>
    <t>10 VAR</t>
  </si>
  <si>
    <t>X10</t>
  </si>
  <si>
    <t>Y</t>
  </si>
  <si>
    <t>10000 RECORDS</t>
  </si>
  <si>
    <t>SNR</t>
  </si>
  <si>
    <t>10 VARIABLES</t>
  </si>
  <si>
    <t>LASSO</t>
  </si>
  <si>
    <t>PREDICTORS &gt;&gt;&gt; NUMBER OF SAMPLES</t>
  </si>
  <si>
    <t>15 VAR</t>
  </si>
  <si>
    <t>5 ELIM</t>
  </si>
  <si>
    <t>10 REATINED</t>
  </si>
  <si>
    <t>beta.x</t>
  </si>
  <si>
    <t>logit</t>
  </si>
  <si>
    <t>Exp(x)/(1+exp(x))</t>
  </si>
  <si>
    <t>x1</t>
  </si>
  <si>
    <t>x2</t>
  </si>
  <si>
    <t>TRUE LABEL</t>
  </si>
  <si>
    <t>PRED PROB FOR MALIGNANT</t>
  </si>
  <si>
    <t>B</t>
  </si>
  <si>
    <t>M</t>
  </si>
  <si>
    <t>DEF THRESHOLD</t>
  </si>
  <si>
    <t>RULE: MALIGNANT IF PRED PROB &gt;= 0.5</t>
  </si>
  <si>
    <t>MODEL PRED</t>
  </si>
  <si>
    <t>FP</t>
  </si>
  <si>
    <t>FN</t>
  </si>
  <si>
    <t>EMP_ID</t>
  </si>
  <si>
    <t>SAL (1000)</t>
  </si>
  <si>
    <t>X</t>
  </si>
  <si>
    <t>X SQ</t>
  </si>
  <si>
    <t>CATEGORY</t>
  </si>
  <si>
    <t>G</t>
  </si>
  <si>
    <t>R</t>
  </si>
  <si>
    <t>TIME SERIES</t>
  </si>
  <si>
    <t>INFOSYS</t>
  </si>
  <si>
    <t>D1</t>
  </si>
  <si>
    <t>D2</t>
  </si>
  <si>
    <t>D3</t>
  </si>
  <si>
    <t>D4</t>
  </si>
  <si>
    <t>FRI</t>
  </si>
  <si>
    <t>??</t>
  </si>
  <si>
    <t>THU</t>
  </si>
  <si>
    <t>WED</t>
  </si>
  <si>
    <t>TUE</t>
  </si>
  <si>
    <t>MON</t>
  </si>
  <si>
    <t>FOOTBALL</t>
  </si>
  <si>
    <t>CRICKET</t>
  </si>
  <si>
    <t>NOVELS</t>
  </si>
  <si>
    <t>COOKING</t>
  </si>
  <si>
    <t>MOVIES (SCI-FI)</t>
  </si>
  <si>
    <t>G1</t>
  </si>
  <si>
    <t>VORACIOUS READERS</t>
  </si>
  <si>
    <t>G2</t>
  </si>
  <si>
    <t>G3</t>
  </si>
  <si>
    <t>FOODIES</t>
  </si>
  <si>
    <t>G4</t>
  </si>
  <si>
    <t>MOVIE BUFFS</t>
  </si>
  <si>
    <t>SPORTS LOVERS</t>
  </si>
  <si>
    <t>LIKES &amp; DISLIKES</t>
  </si>
  <si>
    <t>4 GROUPS</t>
  </si>
  <si>
    <t>CLUSTERS</t>
  </si>
  <si>
    <t>FENCE SITTERS</t>
  </si>
  <si>
    <t>x25</t>
  </si>
  <si>
    <t>DIM RED</t>
  </si>
  <si>
    <t>10 DIMENSIONS</t>
  </si>
  <si>
    <t>CLUSTERING  - REDISTIBUTION OF THE RECORDS INTO CLUSTERS</t>
  </si>
  <si>
    <t>C1</t>
  </si>
  <si>
    <t>C2</t>
  </si>
  <si>
    <t>C3</t>
  </si>
  <si>
    <t>USER</t>
  </si>
  <si>
    <t>ITEM</t>
  </si>
  <si>
    <t>U1</t>
  </si>
  <si>
    <t>U2</t>
  </si>
  <si>
    <t>U3</t>
  </si>
  <si>
    <t>U4</t>
  </si>
  <si>
    <t>U5</t>
  </si>
  <si>
    <t>M1</t>
  </si>
  <si>
    <t>M2</t>
  </si>
  <si>
    <t>M3</t>
  </si>
  <si>
    <t>M4</t>
  </si>
  <si>
    <t>M5</t>
  </si>
  <si>
    <t>M6</t>
  </si>
  <si>
    <t>M7</t>
  </si>
  <si>
    <t>INCEPTION</t>
  </si>
  <si>
    <t>INTERSTELLAR</t>
  </si>
  <si>
    <t>TITANIC</t>
  </si>
  <si>
    <t>MATRIX</t>
  </si>
  <si>
    <t xml:space="preserve">10 M x 1 M </t>
  </si>
  <si>
    <t>MASSIVE DATASET</t>
  </si>
  <si>
    <t>SPARSE DATA SETS</t>
  </si>
  <si>
    <t>M100</t>
  </si>
  <si>
    <t>USERS</t>
  </si>
  <si>
    <t>20 PROGRAMS</t>
  </si>
  <si>
    <t>10000 X 100</t>
  </si>
  <si>
    <t>K22</t>
  </si>
  <si>
    <t>RF</t>
  </si>
  <si>
    <t>XGB</t>
  </si>
  <si>
    <t>RAW FEATURES</t>
  </si>
  <si>
    <t xml:space="preserve">WINE CHEMISTRY </t>
  </si>
  <si>
    <t>x_test</t>
  </si>
  <si>
    <t>WINE CLASSES</t>
  </si>
  <si>
    <t>y_test</t>
  </si>
  <si>
    <t>BASE MODEL PREDICTS USING x_test</t>
  </si>
  <si>
    <t>KNN</t>
  </si>
  <si>
    <t>s_test</t>
  </si>
  <si>
    <t>A</t>
  </si>
  <si>
    <t>C</t>
  </si>
  <si>
    <t>KNN_PRED</t>
  </si>
  <si>
    <t>RF_PRED</t>
  </si>
  <si>
    <t>XGB_PRED</t>
  </si>
  <si>
    <t>0, 1,2 ,3..</t>
  </si>
  <si>
    <t>META MODEL</t>
  </si>
  <si>
    <t>LOG REGRN</t>
  </si>
  <si>
    <t>TAKES THE ABOVE STACKED PRED AS INPUT FEATURES</t>
  </si>
  <si>
    <t>S_train</t>
  </si>
  <si>
    <t>TRAINING DATA FOR THE META MODEL</t>
  </si>
  <si>
    <t>LEARNS WEIGHTS</t>
  </si>
  <si>
    <t>FINAL 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</si>
</sst>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9" fontId="0" fillId="0" borderId="0" xfId="1" applyFont="1" applyAlignment="1">
      <alignment horizontal="center"/>
    </xf>
    <xf numFmtId="9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Continuous"/>
    </xf>
    <xf numFmtId="0" fontId="5" fillId="0" borderId="3" xfId="0" applyFont="1" applyBorder="1" applyAlignment="1">
      <alignment horizontal="center"/>
    </xf>
    <xf numFmtId="0" fontId="3" fillId="0" borderId="0" xfId="0" applyFont="1"/>
    <xf numFmtId="0" fontId="3" fillId="0" borderId="2" xfId="0" applyFont="1" applyBorder="1"/>
    <xf numFmtId="0" fontId="5" fillId="2" borderId="3" xfId="0" applyFont="1" applyFill="1" applyBorder="1" applyAlignment="1">
      <alignment horizontal="center"/>
    </xf>
    <xf numFmtId="0" fontId="3" fillId="2" borderId="0" xfId="0" applyFont="1" applyFill="1"/>
    <xf numFmtId="0" fontId="3" fillId="2" borderId="2" xfId="0" applyFont="1" applyFill="1" applyBorder="1"/>
    <xf numFmtId="164" fontId="3" fillId="0" borderId="0" xfId="0" applyNumberFormat="1" applyFont="1"/>
    <xf numFmtId="164" fontId="3" fillId="2" borderId="0" xfId="0" applyNumberFormat="1" applyFont="1" applyFill="1"/>
    <xf numFmtId="0" fontId="4" fillId="2" borderId="3" xfId="0" applyFont="1" applyFill="1" applyBorder="1" applyAlignment="1">
      <alignment horizontal="center"/>
    </xf>
    <xf numFmtId="0" fontId="6" fillId="2" borderId="2" xfId="0" applyFont="1" applyFill="1" applyBorder="1"/>
    <xf numFmtId="0" fontId="2" fillId="2" borderId="2" xfId="0" applyFont="1" applyFill="1" applyBorder="1"/>
    <xf numFmtId="0" fontId="6" fillId="0" borderId="2" xfId="0" applyFont="1" applyBorder="1"/>
    <xf numFmtId="0" fontId="6" fillId="0" borderId="0" xfId="0" applyFont="1"/>
    <xf numFmtId="0" fontId="0" fillId="2" borderId="1" xfId="0" applyFill="1" applyBorder="1"/>
    <xf numFmtId="0" fontId="0" fillId="4" borderId="1" xfId="0" applyFill="1" applyBorder="1"/>
    <xf numFmtId="9" fontId="3" fillId="0" borderId="0" xfId="0" applyNumberFormat="1" applyFont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" borderId="1" xfId="0" applyFont="1" applyFill="1" applyBorder="1"/>
    <xf numFmtId="0" fontId="0" fillId="5" borderId="1" xfId="0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68087392978983"/>
          <c:y val="0.17634259259259263"/>
          <c:w val="0.79273109665241026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'DAY 2 - 2'!$C$1</c:f>
              <c:strCache>
                <c:ptCount val="1"/>
                <c:pt idx="0">
                  <c:v>Y (1000 UNITS)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'DAY 2 - 2'!$B$2:$B$8</c:f>
              <c:numCache>
                <c:formatCode>General</c:formatCode>
                <c:ptCount val="7"/>
                <c:pt idx="0">
                  <c:v>3</c:v>
                </c:pt>
                <c:pt idx="1">
                  <c:v>10</c:v>
                </c:pt>
                <c:pt idx="2">
                  <c:v>4</c:v>
                </c:pt>
                <c:pt idx="3">
                  <c:v>7</c:v>
                </c:pt>
                <c:pt idx="4">
                  <c:v>9</c:v>
                </c:pt>
                <c:pt idx="5">
                  <c:v>5</c:v>
                </c:pt>
                <c:pt idx="6">
                  <c:v>11</c:v>
                </c:pt>
              </c:numCache>
            </c:numRef>
          </c:xVal>
          <c:yVal>
            <c:numRef>
              <c:f>'DAY 2 - 2'!$C$2:$C$8</c:f>
              <c:numCache>
                <c:formatCode>General</c:formatCode>
                <c:ptCount val="7"/>
                <c:pt idx="0">
                  <c:v>4</c:v>
                </c:pt>
                <c:pt idx="1">
                  <c:v>14</c:v>
                </c:pt>
                <c:pt idx="2">
                  <c:v>5</c:v>
                </c:pt>
                <c:pt idx="3">
                  <c:v>12</c:v>
                </c:pt>
                <c:pt idx="4">
                  <c:v>13</c:v>
                </c:pt>
                <c:pt idx="5">
                  <c:v>7</c:v>
                </c:pt>
                <c:pt idx="6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BE-4197-B121-F3C1A9967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5705743"/>
        <c:axId val="1915704783"/>
      </c:scatterChart>
      <c:valAx>
        <c:axId val="191570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704783"/>
        <c:crosses val="autoZero"/>
        <c:crossBetween val="midCat"/>
      </c:valAx>
      <c:valAx>
        <c:axId val="191570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70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'DAY 4 - 1'!$B$2:$B$22</c:f>
              <c:numCache>
                <c:formatCode>General</c:formatCode>
                <c:ptCount val="21"/>
                <c:pt idx="0">
                  <c:v>4.5397868702434395E-5</c:v>
                </c:pt>
                <c:pt idx="1">
                  <c:v>1.2339457598623172E-4</c:v>
                </c:pt>
                <c:pt idx="2">
                  <c:v>3.3535013046647816E-4</c:v>
                </c:pt>
                <c:pt idx="3">
                  <c:v>9.1105119440064539E-4</c:v>
                </c:pt>
                <c:pt idx="4">
                  <c:v>2.4726231566347748E-3</c:v>
                </c:pt>
                <c:pt idx="5">
                  <c:v>6.6928509242848563E-3</c:v>
                </c:pt>
                <c:pt idx="6">
                  <c:v>1.7986209962091555E-2</c:v>
                </c:pt>
                <c:pt idx="7">
                  <c:v>4.7425873177566788E-2</c:v>
                </c:pt>
                <c:pt idx="8">
                  <c:v>0.11920292202211755</c:v>
                </c:pt>
                <c:pt idx="9">
                  <c:v>0.2689414213699951</c:v>
                </c:pt>
                <c:pt idx="10">
                  <c:v>0.5</c:v>
                </c:pt>
                <c:pt idx="11">
                  <c:v>0.7310585786300049</c:v>
                </c:pt>
                <c:pt idx="12">
                  <c:v>0.88079707797788243</c:v>
                </c:pt>
                <c:pt idx="13">
                  <c:v>0.95257412682243325</c:v>
                </c:pt>
                <c:pt idx="14">
                  <c:v>0.98201379003790845</c:v>
                </c:pt>
                <c:pt idx="15">
                  <c:v>0.99330714907571516</c:v>
                </c:pt>
                <c:pt idx="16">
                  <c:v>0.99752737684336523</c:v>
                </c:pt>
                <c:pt idx="17">
                  <c:v>0.9990889488055994</c:v>
                </c:pt>
                <c:pt idx="18">
                  <c:v>0.99966464986953352</c:v>
                </c:pt>
                <c:pt idx="19">
                  <c:v>0.9998766054240138</c:v>
                </c:pt>
                <c:pt idx="20">
                  <c:v>0.99995460213129761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C-4D09-9DF8-F1EB1D7A2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706816"/>
        <c:axId val="471707296"/>
      </c:scatterChart>
      <c:valAx>
        <c:axId val="47170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07296"/>
        <c:crosses val="autoZero"/>
        <c:crossBetween val="midCat"/>
      </c:valAx>
      <c:valAx>
        <c:axId val="47170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06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'DAY 5 -1'!$G$19</c:f>
              <c:strCache>
                <c:ptCount val="1"/>
                <c:pt idx="0">
                  <c:v>SAL (1000)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'DAY 5 -1'!$F$20:$F$24</c:f>
              <c:numCache>
                <c:formatCode>General</c:formatCode>
                <c:ptCount val="5"/>
                <c:pt idx="0">
                  <c:v>3.5</c:v>
                </c:pt>
                <c:pt idx="1">
                  <c:v>9.8000000000000007</c:v>
                </c:pt>
                <c:pt idx="2">
                  <c:v>10.199999999999999</c:v>
                </c:pt>
                <c:pt idx="3">
                  <c:v>4</c:v>
                </c:pt>
                <c:pt idx="4">
                  <c:v>3.8</c:v>
                </c:pt>
              </c:numCache>
            </c:numRef>
          </c:xVal>
          <c:yVal>
            <c:numRef>
              <c:f>'DAY 5 -1'!$G$20:$G$24</c:f>
              <c:numCache>
                <c:formatCode>General</c:formatCode>
                <c:ptCount val="5"/>
                <c:pt idx="0">
                  <c:v>33</c:v>
                </c:pt>
                <c:pt idx="1">
                  <c:v>120</c:v>
                </c:pt>
                <c:pt idx="2">
                  <c:v>124</c:v>
                </c:pt>
                <c:pt idx="3">
                  <c:v>42</c:v>
                </c:pt>
                <c:pt idx="4">
                  <c:v>37.5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66-411E-9EE6-CEEA82455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283552"/>
        <c:axId val="1458270112"/>
      </c:scatterChart>
      <c:valAx>
        <c:axId val="145828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270112"/>
        <c:crosses val="autoZero"/>
        <c:crossBetween val="midCat"/>
      </c:valAx>
      <c:valAx>
        <c:axId val="145827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28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'DAY 5 - 2'!$E$3</c:f>
              <c:strCache>
                <c:ptCount val="1"/>
                <c:pt idx="0">
                  <c:v>X SQ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'DAY 5 - 2'!$E$4:$E$9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9</c:v>
                </c:pt>
                <c:pt idx="3">
                  <c:v>16</c:v>
                </c:pt>
                <c:pt idx="4">
                  <c:v>36</c:v>
                </c:pt>
                <c:pt idx="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2C-4EFD-B710-C3F5DC26F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270592"/>
        <c:axId val="1458273472"/>
      </c:scatterChart>
      <c:valAx>
        <c:axId val="145827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273472"/>
        <c:crosses val="autoZero"/>
        <c:crossBetween val="midCat"/>
      </c:valAx>
      <c:valAx>
        <c:axId val="14582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27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'DAY 5 - 2'!$D$3</c:f>
              <c:strCache>
                <c:ptCount val="1"/>
                <c:pt idx="0">
                  <c:v>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'DAY 5 - 2'!$D$4:$D$9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51-4C54-9396-AB9DB26F65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279232"/>
        <c:axId val="1458279712"/>
      </c:scatterChart>
      <c:valAx>
        <c:axId val="145827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279712"/>
        <c:crosses val="autoZero"/>
        <c:crossBetween val="midCat"/>
      </c:valAx>
      <c:valAx>
        <c:axId val="14582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279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59871</xdr:colOff>
      <xdr:row>2</xdr:row>
      <xdr:rowOff>13607</xdr:rowOff>
    </xdr:from>
    <xdr:to>
      <xdr:col>14</xdr:col>
      <xdr:colOff>217713</xdr:colOff>
      <xdr:row>17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D2036E-2041-B47A-4D70-1FD29EAFC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378460</xdr:colOff>
      <xdr:row>1</xdr:row>
      <xdr:rowOff>101600</xdr:rowOff>
    </xdr:from>
    <xdr:to>
      <xdr:col>12</xdr:col>
      <xdr:colOff>73660</xdr:colOff>
      <xdr:row>16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822D7F-EDF0-004D-0910-DA62FE4035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2931</xdr:colOff>
      <xdr:row>9</xdr:row>
      <xdr:rowOff>158262</xdr:rowOff>
    </xdr:from>
    <xdr:to>
      <xdr:col>7</xdr:col>
      <xdr:colOff>1005254</xdr:colOff>
      <xdr:row>24</xdr:row>
      <xdr:rowOff>175846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9EDB7A-DFF2-199F-8EBD-B2B56BC16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297180</xdr:colOff>
      <xdr:row>5</xdr:row>
      <xdr:rowOff>57150</xdr:rowOff>
    </xdr:from>
    <xdr:to>
      <xdr:col>17</xdr:col>
      <xdr:colOff>601980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D81EA6-805B-FEE5-1B9C-24CEEF3389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502920</xdr:colOff>
      <xdr:row>11</xdr:row>
      <xdr:rowOff>57150</xdr:rowOff>
    </xdr:from>
    <xdr:to>
      <xdr:col>7</xdr:col>
      <xdr:colOff>381000</xdr:colOff>
      <xdr:row>26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F644ED-4A76-354B-7948-4631C71C36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79B0-726E-4F4F-A075-A7A460FF8BDD}">
  <dimension ref="A1:L44"/>
  <sheetViews>
    <sheetView zoomScale="120" zoomScaleNormal="120" workbookViewId="0">
      <selection activeCell="K1" sqref="K1:K1048576"/>
    </sheetView>
  </sheetViews>
  <sheetFormatPr defaultRowHeight="14.4" x14ac:dyDescent="0.3"/>
  <cols>
    <col min="8" max="8" width="34.33203125" style="2" bestFit="1" customWidth="1"/>
    <col min="9" max="9" width="13.88671875" style="2" customWidth="1"/>
    <col min="10" max="10" width="18.77734375" style="2" bestFit="1" customWidth="1"/>
  </cols>
  <sheetData>
    <row r="1" spans="1:12" x14ac:dyDescent="0.3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7</v>
      </c>
      <c r="H1" s="5" t="s">
        <v>5</v>
      </c>
      <c r="I1" s="5" t="s">
        <v>6</v>
      </c>
      <c r="J1" s="5" t="s">
        <v>8</v>
      </c>
      <c r="K1" s="4" t="s">
        <v>9</v>
      </c>
    </row>
    <row r="2" spans="1:12" x14ac:dyDescent="0.3">
      <c r="A2">
        <v>1</v>
      </c>
      <c r="B2" s="4"/>
      <c r="C2" s="4"/>
      <c r="D2" s="4"/>
      <c r="E2" s="4"/>
      <c r="F2" s="4"/>
      <c r="G2" s="4"/>
      <c r="H2" s="5"/>
      <c r="I2" s="5"/>
      <c r="J2" s="5"/>
      <c r="K2" s="4" t="s">
        <v>10</v>
      </c>
      <c r="L2" t="s">
        <v>13</v>
      </c>
    </row>
    <row r="3" spans="1:12" x14ac:dyDescent="0.3">
      <c r="A3">
        <v>2</v>
      </c>
      <c r="B3" s="4"/>
      <c r="C3" s="4"/>
      <c r="D3" s="4"/>
      <c r="E3" s="4"/>
      <c r="F3" s="4"/>
      <c r="G3" s="4"/>
      <c r="H3" s="5"/>
      <c r="I3" s="5"/>
      <c r="J3" s="5"/>
      <c r="K3" s="4" t="s">
        <v>11</v>
      </c>
      <c r="L3" t="s">
        <v>14</v>
      </c>
    </row>
    <row r="4" spans="1:12" x14ac:dyDescent="0.3">
      <c r="A4">
        <v>3</v>
      </c>
      <c r="B4" s="4"/>
      <c r="C4" s="4"/>
      <c r="D4" s="4"/>
      <c r="E4" s="4"/>
      <c r="F4" s="4"/>
      <c r="G4" s="4"/>
      <c r="H4" s="5"/>
      <c r="I4" s="5"/>
      <c r="J4" s="5"/>
      <c r="K4" s="4" t="s">
        <v>11</v>
      </c>
      <c r="L4" t="s">
        <v>15</v>
      </c>
    </row>
    <row r="5" spans="1:12" x14ac:dyDescent="0.3">
      <c r="A5">
        <v>4</v>
      </c>
      <c r="B5" s="4"/>
      <c r="C5" s="4"/>
      <c r="D5" s="4"/>
      <c r="E5" s="4"/>
      <c r="F5" s="4"/>
      <c r="G5" s="4"/>
      <c r="H5" s="5"/>
      <c r="I5" s="5"/>
      <c r="J5" s="5"/>
      <c r="K5" s="4" t="s">
        <v>10</v>
      </c>
    </row>
    <row r="6" spans="1:12" x14ac:dyDescent="0.3">
      <c r="A6">
        <v>5</v>
      </c>
      <c r="B6" s="4"/>
      <c r="C6" s="4"/>
      <c r="D6" s="4"/>
      <c r="E6" s="4"/>
      <c r="F6" s="4"/>
      <c r="G6" s="4"/>
      <c r="H6" s="5"/>
      <c r="I6" s="5"/>
      <c r="J6" s="5"/>
      <c r="K6" s="4"/>
    </row>
    <row r="7" spans="1:12" x14ac:dyDescent="0.3">
      <c r="A7">
        <v>6</v>
      </c>
      <c r="B7" s="4"/>
      <c r="C7" s="4"/>
      <c r="D7" s="4"/>
      <c r="E7" s="4"/>
      <c r="F7" s="4"/>
      <c r="G7" s="4"/>
      <c r="H7" s="5"/>
      <c r="I7" s="5"/>
      <c r="J7" s="5"/>
      <c r="K7" s="4"/>
    </row>
    <row r="8" spans="1:12" x14ac:dyDescent="0.3">
      <c r="A8">
        <v>7</v>
      </c>
      <c r="B8" s="4"/>
      <c r="C8" s="4"/>
      <c r="D8" s="4"/>
      <c r="E8" s="4"/>
      <c r="F8" s="4"/>
      <c r="G8" s="4"/>
      <c r="H8" s="5"/>
      <c r="I8" s="5"/>
      <c r="J8" s="5"/>
      <c r="K8" s="4">
        <v>1000</v>
      </c>
    </row>
    <row r="9" spans="1:12" x14ac:dyDescent="0.3">
      <c r="A9">
        <v>8</v>
      </c>
      <c r="B9" s="4"/>
      <c r="C9" s="4"/>
      <c r="D9" s="4"/>
      <c r="E9" s="4"/>
      <c r="F9" s="4"/>
      <c r="G9" s="4"/>
      <c r="H9" s="5"/>
      <c r="I9" s="5"/>
      <c r="J9" s="5"/>
      <c r="K9" s="4">
        <v>1999.88</v>
      </c>
    </row>
    <row r="10" spans="1:12" x14ac:dyDescent="0.3">
      <c r="A10">
        <v>9</v>
      </c>
      <c r="B10" s="4"/>
      <c r="C10" s="4"/>
      <c r="D10" s="4"/>
      <c r="E10" s="4"/>
      <c r="F10" s="4"/>
      <c r="G10" s="4"/>
      <c r="H10" s="5"/>
      <c r="I10" s="5"/>
      <c r="J10" s="5"/>
      <c r="K10" s="4"/>
    </row>
    <row r="11" spans="1:12" x14ac:dyDescent="0.3">
      <c r="A11">
        <v>10</v>
      </c>
      <c r="B11" s="4"/>
      <c r="C11" s="4"/>
      <c r="D11" s="4"/>
      <c r="E11" s="4"/>
      <c r="F11" s="4"/>
      <c r="G11" s="4"/>
      <c r="H11" s="5"/>
      <c r="I11" s="5"/>
      <c r="J11" s="5"/>
      <c r="K11" s="4"/>
    </row>
    <row r="12" spans="1:12" x14ac:dyDescent="0.3">
      <c r="A12">
        <v>11</v>
      </c>
      <c r="B12" s="4"/>
      <c r="C12" s="4"/>
      <c r="D12" s="4"/>
      <c r="E12" s="4"/>
      <c r="F12" s="4"/>
      <c r="G12" s="4"/>
      <c r="H12" s="5"/>
      <c r="I12" s="5"/>
      <c r="J12" s="5"/>
      <c r="K12" s="4"/>
    </row>
    <row r="13" spans="1:12" x14ac:dyDescent="0.3">
      <c r="A13">
        <v>12</v>
      </c>
      <c r="B13" s="4"/>
      <c r="C13" s="4"/>
      <c r="D13" s="4"/>
      <c r="E13" s="4"/>
      <c r="F13" s="4"/>
      <c r="G13" s="4"/>
      <c r="H13" s="5"/>
      <c r="I13" s="5"/>
      <c r="J13" s="5"/>
      <c r="K13" s="4"/>
    </row>
    <row r="14" spans="1:12" x14ac:dyDescent="0.3">
      <c r="A14">
        <v>13</v>
      </c>
      <c r="B14" s="4"/>
      <c r="C14" s="4"/>
      <c r="D14" s="4"/>
      <c r="E14" s="4"/>
      <c r="F14" s="4"/>
      <c r="G14" s="4"/>
      <c r="H14" s="5"/>
      <c r="I14" s="5"/>
      <c r="J14" s="5"/>
      <c r="K14" s="4"/>
    </row>
    <row r="15" spans="1:12" x14ac:dyDescent="0.3">
      <c r="A15">
        <v>14</v>
      </c>
      <c r="B15" s="4"/>
      <c r="C15" s="4"/>
      <c r="D15" s="4"/>
      <c r="E15" s="4"/>
      <c r="F15" s="4"/>
      <c r="G15" s="4"/>
      <c r="H15" s="5"/>
      <c r="I15" s="5"/>
      <c r="J15" s="5"/>
      <c r="K15" s="4"/>
    </row>
    <row r="16" spans="1:12" x14ac:dyDescent="0.3">
      <c r="A16">
        <v>15</v>
      </c>
      <c r="B16" s="4"/>
      <c r="C16" s="4"/>
      <c r="D16" s="4"/>
      <c r="E16" s="4"/>
      <c r="F16" s="4"/>
      <c r="G16" s="4"/>
      <c r="H16" s="5"/>
      <c r="I16" s="5"/>
      <c r="J16" s="5"/>
      <c r="K16" s="4"/>
    </row>
    <row r="17" spans="1:12" x14ac:dyDescent="0.3">
      <c r="A17">
        <v>16</v>
      </c>
    </row>
    <row r="18" spans="1:12" x14ac:dyDescent="0.3">
      <c r="A18">
        <v>17</v>
      </c>
      <c r="B18" s="1"/>
      <c r="C18" s="1"/>
      <c r="D18" s="1"/>
      <c r="E18" s="1"/>
      <c r="F18" s="1"/>
      <c r="G18" s="1"/>
      <c r="H18" s="3"/>
      <c r="I18" s="3"/>
      <c r="J18" s="3"/>
      <c r="K18" t="s">
        <v>12</v>
      </c>
    </row>
    <row r="20" spans="1:12" x14ac:dyDescent="0.3">
      <c r="F20" t="s">
        <v>16</v>
      </c>
      <c r="H20" s="2" t="s">
        <v>17</v>
      </c>
      <c r="K20" t="s">
        <v>18</v>
      </c>
    </row>
    <row r="21" spans="1:12" x14ac:dyDescent="0.3">
      <c r="F21">
        <v>100</v>
      </c>
      <c r="H21" s="2">
        <v>10</v>
      </c>
      <c r="K21">
        <v>670031</v>
      </c>
      <c r="L21" t="s">
        <v>19</v>
      </c>
    </row>
    <row r="22" spans="1:12" x14ac:dyDescent="0.3">
      <c r="F22">
        <v>120</v>
      </c>
      <c r="H22" s="2">
        <v>12</v>
      </c>
      <c r="K22">
        <v>670045</v>
      </c>
      <c r="L22" t="s">
        <v>20</v>
      </c>
    </row>
    <row r="23" spans="1:12" x14ac:dyDescent="0.3">
      <c r="F23">
        <v>130</v>
      </c>
      <c r="H23" s="2">
        <v>20</v>
      </c>
      <c r="K23">
        <v>670086</v>
      </c>
      <c r="L23" t="s">
        <v>21</v>
      </c>
    </row>
    <row r="25" spans="1:12" x14ac:dyDescent="0.3">
      <c r="F25">
        <f>AVERAGE(F21:F23)</f>
        <v>116.66666666666667</v>
      </c>
      <c r="H25" s="2">
        <f>AVERAGE(H21:H23)</f>
        <v>14</v>
      </c>
      <c r="K25">
        <f>AVERAGE(K21:K23)</f>
        <v>670054</v>
      </c>
    </row>
    <row r="26" spans="1:12" x14ac:dyDescent="0.3">
      <c r="F26">
        <f>_xlfn.STDEV.S(F21:F23)</f>
        <v>15.275252316519428</v>
      </c>
      <c r="H26" s="2">
        <f>_xlfn.STDEV.S(H21:H23)</f>
        <v>5.2915026221291814</v>
      </c>
      <c r="K26">
        <f>_xlfn.STDEV.S(K21:K23)</f>
        <v>28.583211855912904</v>
      </c>
    </row>
    <row r="28" spans="1:12" x14ac:dyDescent="0.3">
      <c r="F28" t="s">
        <v>24</v>
      </c>
      <c r="G28" t="s">
        <v>25</v>
      </c>
    </row>
    <row r="29" spans="1:12" x14ac:dyDescent="0.3">
      <c r="F29" t="s">
        <v>22</v>
      </c>
      <c r="G29" t="s">
        <v>23</v>
      </c>
      <c r="I29" s="2" t="s">
        <v>28</v>
      </c>
      <c r="J29" s="2" t="s">
        <v>29</v>
      </c>
    </row>
    <row r="31" spans="1:12" x14ac:dyDescent="0.3">
      <c r="F31" t="s">
        <v>26</v>
      </c>
      <c r="I31" s="2" t="s">
        <v>27</v>
      </c>
      <c r="K31" t="s">
        <v>30</v>
      </c>
    </row>
    <row r="34" spans="8:10" x14ac:dyDescent="0.3">
      <c r="H34" s="2" t="s">
        <v>31</v>
      </c>
      <c r="J34" s="2" t="s">
        <v>32</v>
      </c>
    </row>
    <row r="35" spans="8:10" x14ac:dyDescent="0.3">
      <c r="H35" s="2" t="s">
        <v>33</v>
      </c>
      <c r="I35" s="2" t="s">
        <v>34</v>
      </c>
    </row>
    <row r="37" spans="8:10" x14ac:dyDescent="0.3">
      <c r="H37" s="2" t="s">
        <v>35</v>
      </c>
      <c r="I37" s="2" t="s">
        <v>36</v>
      </c>
      <c r="J37" s="2" t="s">
        <v>37</v>
      </c>
    </row>
    <row r="39" spans="8:10" x14ac:dyDescent="0.3">
      <c r="H39" s="2" t="s">
        <v>24</v>
      </c>
      <c r="I39" s="2" t="s">
        <v>25</v>
      </c>
      <c r="J39" s="2" t="s">
        <v>41</v>
      </c>
    </row>
    <row r="40" spans="8:10" x14ac:dyDescent="0.3">
      <c r="H40" s="2" t="s">
        <v>38</v>
      </c>
      <c r="I40" s="2" t="s">
        <v>39</v>
      </c>
      <c r="J40" s="2" t="s">
        <v>40</v>
      </c>
    </row>
    <row r="41" spans="8:10" x14ac:dyDescent="0.3">
      <c r="H41" s="2">
        <v>100000</v>
      </c>
      <c r="I41" s="2">
        <v>30000</v>
      </c>
      <c r="J41" s="2">
        <v>70000</v>
      </c>
    </row>
    <row r="43" spans="8:10" x14ac:dyDescent="0.3">
      <c r="H43" s="2" t="s">
        <v>42</v>
      </c>
    </row>
    <row r="44" spans="8:10" x14ac:dyDescent="0.3">
      <c r="H44" s="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F263F-E49E-4A51-A3AD-50453D7BCFE5}">
  <dimension ref="A1:I10"/>
  <sheetViews>
    <sheetView zoomScale="140" zoomScaleNormal="140" workbookViewId="0">
      <selection activeCell="C15" sqref="C15"/>
    </sheetView>
  </sheetViews>
  <sheetFormatPr defaultRowHeight="14.4" x14ac:dyDescent="0.3"/>
  <cols>
    <col min="1" max="1" width="22.21875" style="2" customWidth="1"/>
    <col min="2" max="2" width="10.77734375" style="2" bestFit="1" customWidth="1"/>
    <col min="3" max="3" width="34.21875" style="2" customWidth="1"/>
    <col min="4" max="4" width="11.109375" style="2" bestFit="1" customWidth="1"/>
    <col min="5" max="5" width="11" style="2" customWidth="1"/>
    <col min="6" max="6" width="18.5546875" style="2" bestFit="1" customWidth="1"/>
    <col min="7" max="7" width="8.88671875" style="2"/>
    <col min="8" max="8" width="12.33203125" style="2" bestFit="1" customWidth="1"/>
    <col min="9" max="9" width="8.88671875" style="2"/>
  </cols>
  <sheetData>
    <row r="1" spans="1:8" x14ac:dyDescent="0.3">
      <c r="A1" s="2" t="s">
        <v>60</v>
      </c>
      <c r="B1" s="2" t="s">
        <v>61</v>
      </c>
    </row>
    <row r="2" spans="1:8" x14ac:dyDescent="0.3">
      <c r="A2" s="2" t="s">
        <v>45</v>
      </c>
      <c r="B2" s="2" t="s">
        <v>44</v>
      </c>
      <c r="C2" s="2" t="s">
        <v>46</v>
      </c>
      <c r="D2" s="2" t="s">
        <v>47</v>
      </c>
      <c r="E2" s="2" t="s">
        <v>48</v>
      </c>
      <c r="F2" s="2" t="s">
        <v>53</v>
      </c>
    </row>
    <row r="3" spans="1:8" x14ac:dyDescent="0.3">
      <c r="A3" s="2">
        <v>100</v>
      </c>
      <c r="B3" s="2">
        <v>110</v>
      </c>
      <c r="C3" s="2">
        <f>A3-B3</f>
        <v>-10</v>
      </c>
      <c r="D3" s="2">
        <f>ABS(C3)</f>
        <v>10</v>
      </c>
      <c r="E3" s="2">
        <f>C3*C3</f>
        <v>100</v>
      </c>
      <c r="F3" s="6">
        <f>D3/A3</f>
        <v>0.1</v>
      </c>
    </row>
    <row r="4" spans="1:8" x14ac:dyDescent="0.3">
      <c r="A4" s="2">
        <v>90</v>
      </c>
      <c r="B4" s="2">
        <v>105</v>
      </c>
      <c r="C4" s="2">
        <f>A4-B4</f>
        <v>-15</v>
      </c>
      <c r="D4" s="2">
        <f t="shared" ref="D4:D5" si="0">ABS(C4)</f>
        <v>15</v>
      </c>
      <c r="E4" s="2">
        <f t="shared" ref="E4:E5" si="1">C4*C4</f>
        <v>225</v>
      </c>
      <c r="F4" s="6">
        <f t="shared" ref="F4:F5" si="2">D4/A4</f>
        <v>0.16666666666666666</v>
      </c>
    </row>
    <row r="5" spans="1:8" x14ac:dyDescent="0.3">
      <c r="A5" s="2">
        <v>105</v>
      </c>
      <c r="B5" s="2">
        <v>99</v>
      </c>
      <c r="C5" s="2">
        <f>A5-B5</f>
        <v>6</v>
      </c>
      <c r="D5" s="2">
        <f t="shared" si="0"/>
        <v>6</v>
      </c>
      <c r="E5" s="2">
        <f t="shared" si="1"/>
        <v>36</v>
      </c>
      <c r="F5" s="6">
        <f t="shared" si="2"/>
        <v>5.7142857142857141E-2</v>
      </c>
    </row>
    <row r="7" spans="1:8" x14ac:dyDescent="0.3">
      <c r="C7" s="2" t="s">
        <v>56</v>
      </c>
      <c r="D7" s="2" t="s">
        <v>54</v>
      </c>
      <c r="E7" s="2">
        <f>SUM(E3:E5)</f>
        <v>361</v>
      </c>
      <c r="G7" s="2" t="s">
        <v>51</v>
      </c>
      <c r="H7" s="2" t="s">
        <v>52</v>
      </c>
    </row>
    <row r="8" spans="1:8" x14ac:dyDescent="0.3">
      <c r="A8" s="2">
        <f>AVERAGE(A3:A5)</f>
        <v>98.333333333333329</v>
      </c>
      <c r="C8" s="2" t="s">
        <v>57</v>
      </c>
      <c r="D8" s="2" t="s">
        <v>49</v>
      </c>
      <c r="E8" s="2">
        <f>AVERAGE(E3:E5)</f>
        <v>120.33333333333333</v>
      </c>
    </row>
    <row r="9" spans="1:8" x14ac:dyDescent="0.3">
      <c r="C9" s="2" t="s">
        <v>58</v>
      </c>
      <c r="D9" s="8" t="s">
        <v>50</v>
      </c>
      <c r="E9" s="2">
        <f>SQRT(E8)</f>
        <v>10.969655114602888</v>
      </c>
      <c r="F9" s="2">
        <f>E9*E9</f>
        <v>120.33333333333331</v>
      </c>
    </row>
    <row r="10" spans="1:8" x14ac:dyDescent="0.3">
      <c r="A10" s="2" t="s">
        <v>62</v>
      </c>
      <c r="C10" s="2" t="s">
        <v>59</v>
      </c>
      <c r="E10" s="2" t="s">
        <v>55</v>
      </c>
      <c r="F10" s="7">
        <f>AVERAGE(F3:F5)</f>
        <v>0.10793650793650794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7C7E-E0B8-49A3-AABB-1C27DD76E0A9}">
  <dimension ref="A1:I27"/>
  <sheetViews>
    <sheetView topLeftCell="A3" zoomScale="130" zoomScaleNormal="130" workbookViewId="0">
      <selection activeCell="E11" sqref="E11"/>
    </sheetView>
  </sheetViews>
  <sheetFormatPr defaultColWidth="25.5546875" defaultRowHeight="14.4" x14ac:dyDescent="0.3"/>
  <cols>
    <col min="2" max="2" width="33.5546875" customWidth="1"/>
    <col min="8" max="9" width="0" hidden="1" customWidth="1"/>
  </cols>
  <sheetData>
    <row r="1" spans="1:9" x14ac:dyDescent="0.3">
      <c r="A1" t="s">
        <v>63</v>
      </c>
    </row>
    <row r="2" spans="1:9" ht="15" thickBot="1" x14ac:dyDescent="0.35"/>
    <row r="3" spans="1:9" x14ac:dyDescent="0.3">
      <c r="A3" s="11" t="s">
        <v>64</v>
      </c>
      <c r="B3" s="11"/>
    </row>
    <row r="4" spans="1:9" x14ac:dyDescent="0.3">
      <c r="A4" t="s">
        <v>65</v>
      </c>
      <c r="B4" s="18">
        <v>0.97870825857089983</v>
      </c>
      <c r="C4" t="s">
        <v>102</v>
      </c>
    </row>
    <row r="5" spans="1:9" x14ac:dyDescent="0.3">
      <c r="A5" s="13" t="s">
        <v>66</v>
      </c>
      <c r="B5" s="18">
        <v>0.95786985539488323</v>
      </c>
      <c r="C5" s="13">
        <f>B4*B4</f>
        <v>0.95786985539488334</v>
      </c>
      <c r="D5" t="s">
        <v>103</v>
      </c>
      <c r="E5" s="18">
        <f>1-B5</f>
        <v>4.2130144605116771E-2</v>
      </c>
    </row>
    <row r="6" spans="1:9" x14ac:dyDescent="0.3">
      <c r="A6" t="s">
        <v>67</v>
      </c>
      <c r="B6" s="19">
        <v>0.94944382647386005</v>
      </c>
      <c r="C6" t="s">
        <v>103</v>
      </c>
      <c r="D6" t="s">
        <v>114</v>
      </c>
    </row>
    <row r="7" spans="1:9" x14ac:dyDescent="0.3">
      <c r="A7" t="s">
        <v>68</v>
      </c>
      <c r="B7" s="18">
        <v>1.0221680811915899</v>
      </c>
      <c r="C7" s="18">
        <f>SQRT(D13)</f>
        <v>1.0221680811915899</v>
      </c>
    </row>
    <row r="8" spans="1:9" ht="15" thickBot="1" x14ac:dyDescent="0.35">
      <c r="A8" s="9" t="s">
        <v>69</v>
      </c>
      <c r="B8" s="9">
        <v>7</v>
      </c>
      <c r="D8" t="s">
        <v>112</v>
      </c>
      <c r="E8" s="13" t="s">
        <v>113</v>
      </c>
    </row>
    <row r="10" spans="1:9" ht="15" thickBot="1" x14ac:dyDescent="0.35">
      <c r="A10" t="s">
        <v>70</v>
      </c>
      <c r="E10">
        <f>D12/D13</f>
        <v>113.67986798679867</v>
      </c>
    </row>
    <row r="11" spans="1:9" x14ac:dyDescent="0.3">
      <c r="A11" s="10"/>
      <c r="B11" s="10" t="s">
        <v>75</v>
      </c>
      <c r="C11" s="10" t="s">
        <v>76</v>
      </c>
      <c r="D11" s="10" t="s">
        <v>77</v>
      </c>
      <c r="E11" s="10" t="s">
        <v>78</v>
      </c>
      <c r="F11" s="12" t="s">
        <v>79</v>
      </c>
    </row>
    <row r="12" spans="1:9" x14ac:dyDescent="0.3">
      <c r="A12" t="s">
        <v>71</v>
      </c>
      <c r="B12">
        <v>1</v>
      </c>
      <c r="C12" s="24">
        <v>118.77586206896552</v>
      </c>
      <c r="D12">
        <v>118.77586206896552</v>
      </c>
      <c r="E12">
        <v>113.67986798679867</v>
      </c>
      <c r="F12" s="13">
        <v>1.2560589689982574E-4</v>
      </c>
    </row>
    <row r="13" spans="1:9" x14ac:dyDescent="0.3">
      <c r="A13" t="s">
        <v>72</v>
      </c>
      <c r="B13">
        <v>5</v>
      </c>
      <c r="C13" s="13">
        <v>5.224137931034484</v>
      </c>
      <c r="D13" s="13">
        <v>1.0448275862068968</v>
      </c>
    </row>
    <row r="14" spans="1:9" ht="15" thickBot="1" x14ac:dyDescent="0.35">
      <c r="A14" s="9" t="s">
        <v>73</v>
      </c>
      <c r="B14" s="9">
        <v>6</v>
      </c>
      <c r="C14" s="9">
        <v>124</v>
      </c>
      <c r="D14" s="14" t="s">
        <v>115</v>
      </c>
      <c r="E14" s="9"/>
      <c r="F14" s="9"/>
    </row>
    <row r="15" spans="1:9" ht="15" thickBot="1" x14ac:dyDescent="0.35"/>
    <row r="16" spans="1:9" x14ac:dyDescent="0.3">
      <c r="A16" s="12"/>
      <c r="B16" s="15" t="s">
        <v>80</v>
      </c>
      <c r="C16" s="12" t="s">
        <v>68</v>
      </c>
      <c r="D16" s="12" t="s">
        <v>81</v>
      </c>
      <c r="E16" s="12" t="s">
        <v>82</v>
      </c>
      <c r="F16" s="15" t="s">
        <v>83</v>
      </c>
      <c r="G16" s="20" t="s">
        <v>84</v>
      </c>
      <c r="H16" s="10" t="s">
        <v>85</v>
      </c>
      <c r="I16" s="10" t="s">
        <v>86</v>
      </c>
    </row>
    <row r="17" spans="1:9" x14ac:dyDescent="0.3">
      <c r="A17" s="13" t="s">
        <v>74</v>
      </c>
      <c r="B17" s="16">
        <v>-1.7241379310343401E-2</v>
      </c>
      <c r="C17" s="13">
        <v>1.0158544440033683</v>
      </c>
      <c r="D17" s="13">
        <v>-1.6972293040720558E-2</v>
      </c>
      <c r="E17" s="13">
        <v>0.98711515035036423</v>
      </c>
      <c r="F17" s="16">
        <v>-2.6285783607158302</v>
      </c>
      <c r="G17" s="1">
        <v>2.5940956020951433</v>
      </c>
      <c r="H17">
        <v>-2.6285783607158302</v>
      </c>
      <c r="I17">
        <v>2.5940956020951433</v>
      </c>
    </row>
    <row r="18" spans="1:9" ht="15" thickBot="1" x14ac:dyDescent="0.35">
      <c r="A18" s="14" t="s">
        <v>87</v>
      </c>
      <c r="B18" s="17">
        <v>1.4310344827586201</v>
      </c>
      <c r="C18" s="14">
        <v>0.13421724452433492</v>
      </c>
      <c r="D18" s="14">
        <v>10.662076157428189</v>
      </c>
      <c r="E18" s="23">
        <v>1.2560589689982588E-4</v>
      </c>
      <c r="F18" s="21">
        <v>1.0860180719552075</v>
      </c>
      <c r="G18" s="22">
        <v>1.7760508935620336</v>
      </c>
      <c r="H18" s="9">
        <v>1.0860180719552075</v>
      </c>
      <c r="I18" s="9">
        <v>1.7760508935620336</v>
      </c>
    </row>
    <row r="19" spans="1:9" x14ac:dyDescent="0.3">
      <c r="A19" t="s">
        <v>24</v>
      </c>
      <c r="E19">
        <v>4.5600000000000002E-2</v>
      </c>
    </row>
    <row r="20" spans="1:9" x14ac:dyDescent="0.3">
      <c r="A20" t="s">
        <v>25</v>
      </c>
      <c r="E20">
        <v>0.78900000000000003</v>
      </c>
    </row>
    <row r="21" spans="1:9" x14ac:dyDescent="0.3">
      <c r="B21" t="s">
        <v>90</v>
      </c>
      <c r="E21" t="s">
        <v>104</v>
      </c>
      <c r="F21" s="16">
        <f>AVERAGE(F18:G18)</f>
        <v>1.4310344827586206</v>
      </c>
    </row>
    <row r="22" spans="1:9" x14ac:dyDescent="0.3">
      <c r="B22" t="s">
        <v>97</v>
      </c>
    </row>
    <row r="23" spans="1:9" x14ac:dyDescent="0.3">
      <c r="D23" s="13" t="s">
        <v>105</v>
      </c>
    </row>
    <row r="24" spans="1:9" x14ac:dyDescent="0.3">
      <c r="A24" s="13" t="s">
        <v>106</v>
      </c>
    </row>
    <row r="25" spans="1:9" x14ac:dyDescent="0.3">
      <c r="A25" s="13" t="s">
        <v>109</v>
      </c>
      <c r="B25" t="s">
        <v>108</v>
      </c>
      <c r="D25" s="13" t="s">
        <v>110</v>
      </c>
    </row>
    <row r="26" spans="1:9" x14ac:dyDescent="0.3">
      <c r="A26" s="13" t="s">
        <v>107</v>
      </c>
    </row>
    <row r="27" spans="1:9" x14ac:dyDescent="0.3">
      <c r="C27" s="13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EE874-88B1-49EF-94D0-70669192CADB}">
  <dimension ref="A1:I16"/>
  <sheetViews>
    <sheetView zoomScale="140" zoomScaleNormal="140" workbookViewId="0">
      <selection activeCell="B1" sqref="B1:B9"/>
    </sheetView>
  </sheetViews>
  <sheetFormatPr defaultRowHeight="14.4" x14ac:dyDescent="0.3"/>
  <cols>
    <col min="2" max="2" width="50.21875" bestFit="1" customWidth="1"/>
    <col min="3" max="3" width="13.6640625" bestFit="1" customWidth="1"/>
    <col min="4" max="4" width="14.77734375" customWidth="1"/>
    <col min="5" max="5" width="17.21875" bestFit="1" customWidth="1"/>
    <col min="6" max="6" width="17.77734375" bestFit="1" customWidth="1"/>
    <col min="7" max="7" width="8.88671875" style="2"/>
  </cols>
  <sheetData>
    <row r="1" spans="1:9" x14ac:dyDescent="0.3">
      <c r="B1" s="8" t="s">
        <v>87</v>
      </c>
      <c r="C1" s="8" t="s">
        <v>88</v>
      </c>
      <c r="D1" s="13" t="s">
        <v>99</v>
      </c>
      <c r="E1" t="s">
        <v>117</v>
      </c>
      <c r="F1" t="s">
        <v>118</v>
      </c>
      <c r="G1" s="2" t="s">
        <v>119</v>
      </c>
    </row>
    <row r="2" spans="1:9" x14ac:dyDescent="0.3">
      <c r="B2" s="2">
        <v>3</v>
      </c>
      <c r="C2" s="2">
        <v>4</v>
      </c>
      <c r="D2">
        <f>-0.0172413793103434 + 1.43103448275862 * B2</f>
        <v>4.2758620689655169</v>
      </c>
      <c r="E2">
        <f>(D2-$C$9)^2</f>
        <v>32.765755053507732</v>
      </c>
      <c r="F2">
        <f>(C2-D2)^2</f>
        <v>7.6099881093935604E-2</v>
      </c>
      <c r="G2" s="2">
        <f>(C2-$C$9)^2</f>
        <v>36</v>
      </c>
    </row>
    <row r="3" spans="1:9" x14ac:dyDescent="0.3">
      <c r="B3" s="2">
        <v>10</v>
      </c>
      <c r="C3" s="2">
        <v>14</v>
      </c>
      <c r="D3">
        <f t="shared" ref="D3:D8" si="0">-0.0172413793103434 + 1.43103448275862 * B3</f>
        <v>14.293103448275858</v>
      </c>
      <c r="E3">
        <f t="shared" ref="E3:E8" si="1">(D3-$C$9)^2</f>
        <v>18.430737217598061</v>
      </c>
      <c r="F3">
        <f t="shared" ref="F3:F12" si="2">(C3-D3)^2</f>
        <v>8.5909631391198366E-2</v>
      </c>
      <c r="G3" s="2">
        <f t="shared" ref="G3:G7" si="3">(C3-$C$9)^2</f>
        <v>16</v>
      </c>
    </row>
    <row r="4" spans="1:9" x14ac:dyDescent="0.3">
      <c r="B4" s="2">
        <v>4</v>
      </c>
      <c r="C4" s="2">
        <v>5</v>
      </c>
      <c r="D4">
        <f t="shared" si="0"/>
        <v>5.706896551724137</v>
      </c>
      <c r="E4">
        <f t="shared" si="1"/>
        <v>18.430737217598104</v>
      </c>
      <c r="F4">
        <f t="shared" si="2"/>
        <v>0.49970273483947553</v>
      </c>
      <c r="G4" s="2">
        <f t="shared" si="3"/>
        <v>25</v>
      </c>
    </row>
    <row r="5" spans="1:9" x14ac:dyDescent="0.3">
      <c r="B5" s="2">
        <v>7</v>
      </c>
      <c r="C5" s="2">
        <v>12</v>
      </c>
      <c r="D5">
        <f t="shared" si="0"/>
        <v>9.9999999999999982</v>
      </c>
      <c r="E5">
        <f t="shared" si="1"/>
        <v>3.1554436208840472E-30</v>
      </c>
      <c r="F5">
        <f t="shared" si="2"/>
        <v>4.0000000000000071</v>
      </c>
      <c r="G5" s="2">
        <f t="shared" si="3"/>
        <v>4</v>
      </c>
    </row>
    <row r="6" spans="1:9" x14ac:dyDescent="0.3">
      <c r="B6" s="2">
        <v>9</v>
      </c>
      <c r="C6" s="2">
        <v>13</v>
      </c>
      <c r="D6">
        <f t="shared" si="0"/>
        <v>12.862068965517237</v>
      </c>
      <c r="E6">
        <f t="shared" si="1"/>
        <v>8.1914387633769046</v>
      </c>
      <c r="F6">
        <f t="shared" si="2"/>
        <v>1.902497027348525E-2</v>
      </c>
      <c r="G6" s="2">
        <f t="shared" si="3"/>
        <v>9</v>
      </c>
    </row>
    <row r="7" spans="1:9" x14ac:dyDescent="0.3">
      <c r="B7" s="2">
        <v>5</v>
      </c>
      <c r="C7" s="2">
        <v>7</v>
      </c>
      <c r="D7">
        <f t="shared" si="0"/>
        <v>7.1379310344827571</v>
      </c>
      <c r="E7">
        <f t="shared" si="1"/>
        <v>8.1914387633769401</v>
      </c>
      <c r="F7">
        <f t="shared" si="2"/>
        <v>1.9024970273483533E-2</v>
      </c>
      <c r="G7" s="2">
        <f t="shared" si="3"/>
        <v>9</v>
      </c>
    </row>
    <row r="8" spans="1:9" x14ac:dyDescent="0.3">
      <c r="B8" s="2">
        <v>11</v>
      </c>
      <c r="C8" s="2">
        <v>15</v>
      </c>
      <c r="D8">
        <f t="shared" si="0"/>
        <v>15.724137931034479</v>
      </c>
      <c r="E8">
        <f t="shared" si="1"/>
        <v>32.765755053507682</v>
      </c>
      <c r="F8">
        <f t="shared" si="2"/>
        <v>0.52437574316289537</v>
      </c>
      <c r="G8" s="2">
        <f>(C8-$C$9)^2</f>
        <v>25</v>
      </c>
      <c r="I8" s="8" t="s">
        <v>119</v>
      </c>
    </row>
    <row r="9" spans="1:9" x14ac:dyDescent="0.3">
      <c r="B9" s="2" t="s">
        <v>116</v>
      </c>
      <c r="C9" s="8">
        <f>AVERAGE(C2:C8)</f>
        <v>10</v>
      </c>
      <c r="E9" s="16">
        <f>SUM(E2:E8)</f>
        <v>118.77586206896544</v>
      </c>
      <c r="F9" s="16">
        <f>SUM(F2:F8)</f>
        <v>5.2241379310344813</v>
      </c>
      <c r="G9" s="16">
        <f>SUM(G2:G8)</f>
        <v>124</v>
      </c>
      <c r="I9" s="8">
        <f>SUM(E9:F9)</f>
        <v>123.99999999999991</v>
      </c>
    </row>
    <row r="10" spans="1:9" x14ac:dyDescent="0.3">
      <c r="B10" t="s">
        <v>89</v>
      </c>
    </row>
    <row r="11" spans="1:9" x14ac:dyDescent="0.3">
      <c r="A11" t="s">
        <v>92</v>
      </c>
      <c r="B11" t="s">
        <v>91</v>
      </c>
      <c r="C11" s="18">
        <f>CORREL(B2:B8,C2:C8)</f>
        <v>0.97870825857089983</v>
      </c>
      <c r="D11" t="s">
        <v>94</v>
      </c>
      <c r="E11" t="s">
        <v>93</v>
      </c>
      <c r="F11" t="e">
        <f t="shared" si="2"/>
        <v>#VALUE!</v>
      </c>
    </row>
    <row r="12" spans="1:9" x14ac:dyDescent="0.3">
      <c r="B12" t="s">
        <v>100</v>
      </c>
      <c r="C12" s="19">
        <f>C11*C11</f>
        <v>0.95786985539488334</v>
      </c>
      <c r="D12">
        <f>C12*100</f>
        <v>95.786985539488327</v>
      </c>
      <c r="E12" t="s">
        <v>101</v>
      </c>
      <c r="F12">
        <f t="shared" si="2"/>
        <v>8992.5611814271761</v>
      </c>
    </row>
    <row r="14" spans="1:9" x14ac:dyDescent="0.3">
      <c r="B14" s="13" t="s">
        <v>90</v>
      </c>
      <c r="F14" t="s">
        <v>95</v>
      </c>
      <c r="H14" s="13" t="s">
        <v>96</v>
      </c>
    </row>
    <row r="15" spans="1:9" x14ac:dyDescent="0.3">
      <c r="D15" s="13"/>
      <c r="E15" s="13"/>
    </row>
    <row r="16" spans="1:9" x14ac:dyDescent="0.3">
      <c r="C16" s="13">
        <f xml:space="preserve"> D2</f>
        <v>4.2758620689655169</v>
      </c>
      <c r="D16" s="13" t="s">
        <v>98</v>
      </c>
      <c r="E16" s="13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C45FD-6AB9-4212-988C-F41D672A9237}">
  <dimension ref="B1:S60"/>
  <sheetViews>
    <sheetView topLeftCell="A26" zoomScale="120" zoomScaleNormal="120" workbookViewId="0">
      <selection activeCell="C30" sqref="C30"/>
    </sheetView>
  </sheetViews>
  <sheetFormatPr defaultRowHeight="14.4" x14ac:dyDescent="0.3"/>
  <cols>
    <col min="3" max="12" width="8.88671875" style="2"/>
  </cols>
  <sheetData>
    <row r="1" spans="2:15" x14ac:dyDescent="0.3">
      <c r="D1" s="27">
        <v>0.7</v>
      </c>
      <c r="E1" s="27">
        <v>0.3</v>
      </c>
    </row>
    <row r="2" spans="2:15" x14ac:dyDescent="0.3">
      <c r="C2" s="2">
        <v>1000</v>
      </c>
      <c r="D2" s="8">
        <v>700</v>
      </c>
      <c r="E2" s="8">
        <v>300</v>
      </c>
      <c r="I2" s="2" t="s">
        <v>128</v>
      </c>
    </row>
    <row r="3" spans="2:15" x14ac:dyDescent="0.3">
      <c r="B3" t="s">
        <v>120</v>
      </c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</row>
    <row r="4" spans="2:15" x14ac:dyDescent="0.3">
      <c r="B4">
        <v>1</v>
      </c>
      <c r="C4" s="28">
        <v>100</v>
      </c>
      <c r="D4" s="28">
        <v>100</v>
      </c>
      <c r="E4" s="28">
        <v>100</v>
      </c>
      <c r="F4" s="28">
        <v>100</v>
      </c>
      <c r="G4" s="28">
        <v>100</v>
      </c>
      <c r="H4" s="28">
        <v>100</v>
      </c>
      <c r="I4" s="28">
        <v>100</v>
      </c>
      <c r="J4" s="28">
        <v>100</v>
      </c>
      <c r="K4" s="28">
        <v>100</v>
      </c>
      <c r="L4" s="29">
        <v>100</v>
      </c>
      <c r="N4" t="s">
        <v>122</v>
      </c>
    </row>
    <row r="5" spans="2:15" x14ac:dyDescent="0.3">
      <c r="B5">
        <v>2</v>
      </c>
      <c r="C5" s="28">
        <v>100</v>
      </c>
      <c r="D5" s="28">
        <v>100</v>
      </c>
      <c r="E5" s="28">
        <v>100</v>
      </c>
      <c r="F5" s="28">
        <v>100</v>
      </c>
      <c r="G5" s="28">
        <v>100</v>
      </c>
      <c r="H5" s="28">
        <v>100</v>
      </c>
      <c r="I5" s="28">
        <v>100</v>
      </c>
      <c r="J5" s="28">
        <v>100</v>
      </c>
      <c r="K5" s="29">
        <v>100</v>
      </c>
      <c r="L5" s="28">
        <v>100</v>
      </c>
    </row>
    <row r="6" spans="2:15" x14ac:dyDescent="0.3">
      <c r="B6">
        <v>3</v>
      </c>
      <c r="C6" s="28">
        <v>100</v>
      </c>
      <c r="D6" s="28">
        <v>100</v>
      </c>
      <c r="E6" s="28">
        <v>100</v>
      </c>
      <c r="F6" s="28">
        <v>100</v>
      </c>
      <c r="G6" s="28">
        <v>100</v>
      </c>
      <c r="H6" s="28">
        <v>100</v>
      </c>
      <c r="I6" s="28">
        <v>100</v>
      </c>
      <c r="J6" s="29">
        <v>100</v>
      </c>
      <c r="K6" s="28">
        <v>100</v>
      </c>
      <c r="L6" s="28">
        <v>100</v>
      </c>
    </row>
    <row r="7" spans="2:15" x14ac:dyDescent="0.3">
      <c r="B7">
        <v>4</v>
      </c>
      <c r="C7" s="28">
        <v>100</v>
      </c>
      <c r="D7" s="28">
        <v>100</v>
      </c>
      <c r="E7" s="28">
        <v>100</v>
      </c>
      <c r="F7" s="28">
        <v>100</v>
      </c>
      <c r="G7" s="28">
        <v>100</v>
      </c>
      <c r="H7" s="28">
        <v>100</v>
      </c>
      <c r="I7" s="29">
        <v>100</v>
      </c>
      <c r="J7" s="28">
        <v>100</v>
      </c>
      <c r="K7" s="28">
        <v>100</v>
      </c>
      <c r="L7" s="28">
        <v>100</v>
      </c>
    </row>
    <row r="8" spans="2:15" x14ac:dyDescent="0.3">
      <c r="B8">
        <v>5</v>
      </c>
      <c r="C8" s="28">
        <v>100</v>
      </c>
      <c r="D8" s="28">
        <v>100</v>
      </c>
      <c r="E8" s="28">
        <v>100</v>
      </c>
      <c r="F8" s="28">
        <v>100</v>
      </c>
      <c r="G8" s="28">
        <v>100</v>
      </c>
      <c r="H8" s="29">
        <v>100</v>
      </c>
      <c r="I8" s="28">
        <v>100</v>
      </c>
      <c r="J8" s="28">
        <v>100</v>
      </c>
      <c r="K8" s="28">
        <v>100</v>
      </c>
      <c r="L8" s="28">
        <v>100</v>
      </c>
      <c r="N8" t="s">
        <v>123</v>
      </c>
      <c r="O8" t="s">
        <v>124</v>
      </c>
    </row>
    <row r="9" spans="2:15" x14ac:dyDescent="0.3">
      <c r="B9">
        <v>6</v>
      </c>
      <c r="C9" s="28">
        <v>100</v>
      </c>
      <c r="D9" s="28">
        <v>100</v>
      </c>
      <c r="E9" s="28">
        <v>100</v>
      </c>
      <c r="F9" s="28">
        <v>100</v>
      </c>
      <c r="G9" s="29">
        <v>100</v>
      </c>
      <c r="H9" s="28">
        <v>100</v>
      </c>
      <c r="I9" s="28">
        <v>100</v>
      </c>
      <c r="J9" s="28">
        <v>100</v>
      </c>
      <c r="K9" s="28">
        <v>100</v>
      </c>
      <c r="L9" s="28">
        <v>100</v>
      </c>
      <c r="N9" t="s">
        <v>125</v>
      </c>
      <c r="O9" t="s">
        <v>126</v>
      </c>
    </row>
    <row r="10" spans="2:15" x14ac:dyDescent="0.3">
      <c r="B10">
        <v>7</v>
      </c>
      <c r="C10" s="28">
        <v>100</v>
      </c>
      <c r="D10" s="28">
        <v>100</v>
      </c>
      <c r="E10" s="28">
        <v>100</v>
      </c>
      <c r="F10" s="29">
        <v>100</v>
      </c>
      <c r="G10" s="28">
        <v>100</v>
      </c>
      <c r="H10" s="28">
        <v>100</v>
      </c>
      <c r="I10" s="28">
        <v>100</v>
      </c>
      <c r="J10" s="28">
        <v>100</v>
      </c>
      <c r="K10" s="28">
        <v>100</v>
      </c>
      <c r="L10" s="28">
        <v>100</v>
      </c>
    </row>
    <row r="11" spans="2:15" x14ac:dyDescent="0.3">
      <c r="B11">
        <v>8</v>
      </c>
      <c r="C11" s="28">
        <v>100</v>
      </c>
      <c r="D11" s="28">
        <v>100</v>
      </c>
      <c r="E11" s="29">
        <v>100</v>
      </c>
      <c r="F11" s="28">
        <v>100</v>
      </c>
      <c r="G11" s="28">
        <v>100</v>
      </c>
      <c r="H11" s="28">
        <v>100</v>
      </c>
      <c r="I11" s="28">
        <v>100</v>
      </c>
      <c r="J11" s="28">
        <v>100</v>
      </c>
      <c r="K11" s="28">
        <v>100</v>
      </c>
      <c r="L11" s="28">
        <v>100</v>
      </c>
    </row>
    <row r="12" spans="2:15" x14ac:dyDescent="0.3">
      <c r="B12">
        <v>9</v>
      </c>
      <c r="C12" s="28">
        <v>100</v>
      </c>
      <c r="D12" s="29">
        <v>100</v>
      </c>
      <c r="E12" s="28">
        <v>100</v>
      </c>
      <c r="F12" s="28">
        <v>100</v>
      </c>
      <c r="G12" s="28">
        <v>100</v>
      </c>
      <c r="H12" s="28">
        <v>100</v>
      </c>
      <c r="I12" s="28">
        <v>100</v>
      </c>
      <c r="J12" s="28">
        <v>100</v>
      </c>
      <c r="K12" s="28">
        <v>100</v>
      </c>
      <c r="L12" s="28">
        <v>100</v>
      </c>
    </row>
    <row r="13" spans="2:15" x14ac:dyDescent="0.3">
      <c r="B13">
        <v>10</v>
      </c>
      <c r="C13" s="29">
        <v>100</v>
      </c>
      <c r="D13" s="28">
        <v>100</v>
      </c>
      <c r="E13" s="28">
        <v>100</v>
      </c>
      <c r="F13" s="28">
        <v>100</v>
      </c>
      <c r="G13" s="28">
        <v>100</v>
      </c>
      <c r="H13" s="28">
        <v>100</v>
      </c>
      <c r="I13" s="28">
        <v>100</v>
      </c>
      <c r="J13" s="28">
        <v>100</v>
      </c>
      <c r="K13" s="28">
        <v>100</v>
      </c>
      <c r="L13" s="28">
        <v>100</v>
      </c>
    </row>
    <row r="15" spans="2:15" x14ac:dyDescent="0.3">
      <c r="C15" s="2" t="s">
        <v>129</v>
      </c>
      <c r="D15" s="2" t="s">
        <v>130</v>
      </c>
      <c r="L15" s="2" t="s">
        <v>131</v>
      </c>
    </row>
    <row r="16" spans="2:15" x14ac:dyDescent="0.3">
      <c r="B16" t="s">
        <v>121</v>
      </c>
    </row>
    <row r="17" spans="2:19" x14ac:dyDescent="0.3">
      <c r="B17" t="s">
        <v>127</v>
      </c>
    </row>
    <row r="18" spans="2:19" x14ac:dyDescent="0.3">
      <c r="D18" s="2" t="s">
        <v>132</v>
      </c>
      <c r="G18" s="2" t="s">
        <v>133</v>
      </c>
      <c r="H18" s="2" t="s">
        <v>134</v>
      </c>
    </row>
    <row r="20" spans="2:19" x14ac:dyDescent="0.3">
      <c r="E20" s="2" t="s">
        <v>24</v>
      </c>
      <c r="F20" s="2" t="s">
        <v>25</v>
      </c>
      <c r="J20" s="2" t="s">
        <v>135</v>
      </c>
      <c r="K20" s="2" t="s">
        <v>136</v>
      </c>
    </row>
    <row r="23" spans="2:19" x14ac:dyDescent="0.3">
      <c r="F23" s="2" t="s">
        <v>137</v>
      </c>
      <c r="I23" s="2">
        <v>9999</v>
      </c>
      <c r="J23" s="2">
        <v>1</v>
      </c>
    </row>
    <row r="24" spans="2:19" x14ac:dyDescent="0.3">
      <c r="I24" s="2">
        <v>9999</v>
      </c>
      <c r="J24" s="2">
        <v>1</v>
      </c>
    </row>
    <row r="26" spans="2:19" x14ac:dyDescent="0.3">
      <c r="E26" s="2">
        <v>1</v>
      </c>
    </row>
    <row r="27" spans="2:19" x14ac:dyDescent="0.3">
      <c r="E27" s="2">
        <v>2</v>
      </c>
    </row>
    <row r="28" spans="2:19" x14ac:dyDescent="0.3">
      <c r="E28" s="2">
        <v>3</v>
      </c>
      <c r="J28" s="2" t="s">
        <v>138</v>
      </c>
    </row>
    <row r="29" spans="2:19" x14ac:dyDescent="0.3">
      <c r="E29" s="2">
        <v>4</v>
      </c>
    </row>
    <row r="30" spans="2:19" x14ac:dyDescent="0.3">
      <c r="E30" s="2">
        <v>5</v>
      </c>
      <c r="K30" s="2" t="s">
        <v>140</v>
      </c>
      <c r="R30" s="13" t="s">
        <v>139</v>
      </c>
    </row>
    <row r="31" spans="2:19" x14ac:dyDescent="0.3">
      <c r="E31" s="2">
        <v>6</v>
      </c>
      <c r="J31" s="29"/>
      <c r="K31" s="29"/>
      <c r="L31" s="29"/>
      <c r="M31" s="26"/>
      <c r="N31" s="26"/>
      <c r="O31" s="26"/>
      <c r="P31" s="26"/>
      <c r="Q31" s="26"/>
      <c r="R31" s="26"/>
      <c r="S31" s="26"/>
    </row>
    <row r="32" spans="2:19" x14ac:dyDescent="0.3">
      <c r="E32" s="2">
        <v>7</v>
      </c>
      <c r="I32" s="2">
        <v>1</v>
      </c>
      <c r="J32" s="28"/>
      <c r="K32" s="28"/>
      <c r="L32" s="28"/>
      <c r="M32" s="25"/>
      <c r="N32" s="25"/>
      <c r="O32" s="25"/>
      <c r="P32" s="25"/>
      <c r="Q32" s="25"/>
      <c r="R32" s="25"/>
      <c r="S32" s="25"/>
    </row>
    <row r="33" spans="5:19" x14ac:dyDescent="0.3">
      <c r="E33" s="2">
        <v>8</v>
      </c>
      <c r="I33" s="2">
        <v>2</v>
      </c>
      <c r="J33" s="28"/>
      <c r="K33" s="28"/>
      <c r="L33" s="28"/>
      <c r="M33" s="25"/>
      <c r="N33" s="25"/>
      <c r="O33" s="25"/>
      <c r="P33" s="25"/>
      <c r="Q33" s="25"/>
      <c r="R33" s="25"/>
      <c r="S33" s="25"/>
    </row>
    <row r="34" spans="5:19" x14ac:dyDescent="0.3">
      <c r="E34" s="30">
        <v>9</v>
      </c>
      <c r="I34" s="2">
        <v>3</v>
      </c>
      <c r="J34" s="28"/>
      <c r="K34" s="28"/>
      <c r="L34" s="28"/>
      <c r="M34" s="25"/>
      <c r="N34" s="25"/>
      <c r="O34" s="25"/>
      <c r="P34" s="25"/>
      <c r="Q34" s="25"/>
      <c r="R34" s="25"/>
      <c r="S34" s="25"/>
    </row>
    <row r="35" spans="5:19" x14ac:dyDescent="0.3">
      <c r="E35" s="3">
        <v>10</v>
      </c>
      <c r="I35" s="2">
        <v>4</v>
      </c>
      <c r="J35" s="28"/>
      <c r="K35" s="28"/>
      <c r="L35" s="28"/>
      <c r="M35" s="25"/>
      <c r="N35" s="25"/>
      <c r="O35" s="25"/>
      <c r="P35" s="25"/>
      <c r="Q35" s="25"/>
      <c r="R35" s="25"/>
      <c r="S35" s="25"/>
    </row>
    <row r="36" spans="5:19" x14ac:dyDescent="0.3">
      <c r="E36" s="30">
        <v>11</v>
      </c>
      <c r="I36" s="2">
        <v>5</v>
      </c>
      <c r="J36" s="28"/>
      <c r="K36" s="28"/>
      <c r="L36" s="28"/>
      <c r="M36" s="25"/>
      <c r="N36" s="25"/>
      <c r="O36" s="25"/>
      <c r="P36" s="25"/>
      <c r="Q36" s="25"/>
      <c r="R36" s="25"/>
      <c r="S36" s="25"/>
    </row>
    <row r="37" spans="5:19" x14ac:dyDescent="0.3">
      <c r="E37" s="3">
        <v>12</v>
      </c>
      <c r="I37" s="2">
        <v>6</v>
      </c>
      <c r="J37" s="28"/>
      <c r="K37" s="28"/>
      <c r="L37" s="28"/>
      <c r="M37" s="25"/>
      <c r="N37" s="25"/>
      <c r="O37" s="25"/>
      <c r="P37" s="25"/>
      <c r="Q37" s="25"/>
      <c r="R37" s="25"/>
      <c r="S37" s="25"/>
    </row>
    <row r="38" spans="5:19" x14ac:dyDescent="0.3">
      <c r="E38" s="30">
        <v>13</v>
      </c>
    </row>
    <row r="39" spans="5:19" x14ac:dyDescent="0.3">
      <c r="E39" s="3">
        <v>14</v>
      </c>
      <c r="J39" s="2" t="s">
        <v>141</v>
      </c>
      <c r="P39" t="s">
        <v>142</v>
      </c>
      <c r="Q39" t="s">
        <v>143</v>
      </c>
    </row>
    <row r="40" spans="5:19" x14ac:dyDescent="0.3">
      <c r="E40" s="30">
        <v>15</v>
      </c>
      <c r="P40" s="13" t="s">
        <v>144</v>
      </c>
    </row>
    <row r="41" spans="5:19" x14ac:dyDescent="0.3">
      <c r="E41" s="3">
        <v>16</v>
      </c>
    </row>
    <row r="42" spans="5:19" x14ac:dyDescent="0.3">
      <c r="E42" s="30">
        <v>17</v>
      </c>
    </row>
    <row r="43" spans="5:19" x14ac:dyDescent="0.3">
      <c r="E43" s="3">
        <v>18</v>
      </c>
    </row>
    <row r="44" spans="5:19" x14ac:dyDescent="0.3">
      <c r="E44" s="30">
        <v>19</v>
      </c>
    </row>
    <row r="45" spans="5:19" x14ac:dyDescent="0.3">
      <c r="E45" s="3">
        <v>20</v>
      </c>
    </row>
    <row r="46" spans="5:19" x14ac:dyDescent="0.3">
      <c r="E46" s="30">
        <v>21</v>
      </c>
    </row>
    <row r="47" spans="5:19" x14ac:dyDescent="0.3">
      <c r="E47" s="3">
        <v>22</v>
      </c>
    </row>
    <row r="48" spans="5:19" x14ac:dyDescent="0.3">
      <c r="E48" s="30">
        <v>23</v>
      </c>
    </row>
    <row r="49" spans="5:5" x14ac:dyDescent="0.3">
      <c r="E49" s="3">
        <v>24</v>
      </c>
    </row>
    <row r="50" spans="5:5" x14ac:dyDescent="0.3">
      <c r="E50" s="30">
        <v>25</v>
      </c>
    </row>
    <row r="51" spans="5:5" x14ac:dyDescent="0.3">
      <c r="E51" s="3">
        <v>26</v>
      </c>
    </row>
    <row r="52" spans="5:5" x14ac:dyDescent="0.3">
      <c r="E52" s="30">
        <v>27</v>
      </c>
    </row>
    <row r="53" spans="5:5" x14ac:dyDescent="0.3">
      <c r="E53" s="3">
        <v>28</v>
      </c>
    </row>
    <row r="54" spans="5:5" x14ac:dyDescent="0.3">
      <c r="E54" s="30">
        <v>29</v>
      </c>
    </row>
    <row r="55" spans="5:5" x14ac:dyDescent="0.3">
      <c r="E55" s="3">
        <v>30</v>
      </c>
    </row>
    <row r="56" spans="5:5" x14ac:dyDescent="0.3">
      <c r="E56" s="30">
        <v>31</v>
      </c>
    </row>
    <row r="57" spans="5:5" x14ac:dyDescent="0.3">
      <c r="E57" s="3">
        <v>32</v>
      </c>
    </row>
    <row r="58" spans="5:5" x14ac:dyDescent="0.3">
      <c r="E58" s="30">
        <v>33</v>
      </c>
    </row>
    <row r="59" spans="5:5" x14ac:dyDescent="0.3">
      <c r="E59" s="3">
        <v>34</v>
      </c>
    </row>
    <row r="60" spans="5:5" x14ac:dyDescent="0.3">
      <c r="E60" s="30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F5D51-27C1-4F92-BDCE-98708860B6C2}">
  <dimension ref="A1:D22"/>
  <sheetViews>
    <sheetView topLeftCell="A2" zoomScale="150" zoomScaleNormal="150" workbookViewId="0">
      <selection activeCell="B2" sqref="B2:B22"/>
    </sheetView>
  </sheetViews>
  <sheetFormatPr defaultRowHeight="14.4" x14ac:dyDescent="0.3"/>
  <cols>
    <col min="1" max="1" width="8.88671875" style="2"/>
    <col min="2" max="2" width="12.21875" style="2" bestFit="1" customWidth="1"/>
  </cols>
  <sheetData>
    <row r="1" spans="1:4" x14ac:dyDescent="0.3">
      <c r="A1" s="2" t="s">
        <v>145</v>
      </c>
      <c r="B1" s="2" t="s">
        <v>146</v>
      </c>
      <c r="D1" t="s">
        <v>147</v>
      </c>
    </row>
    <row r="2" spans="1:4" x14ac:dyDescent="0.3">
      <c r="A2" s="2">
        <v>-10</v>
      </c>
      <c r="B2" s="2">
        <f>EXP(A2)/(1+EXP(A2))</f>
        <v>4.5397868702434395E-5</v>
      </c>
    </row>
    <row r="3" spans="1:4" x14ac:dyDescent="0.3">
      <c r="A3" s="2">
        <v>-9</v>
      </c>
      <c r="B3" s="2">
        <f t="shared" ref="B3:B22" si="0">EXP(A3)/(1+EXP(A3))</f>
        <v>1.2339457598623172E-4</v>
      </c>
    </row>
    <row r="4" spans="1:4" x14ac:dyDescent="0.3">
      <c r="A4" s="2">
        <v>-8</v>
      </c>
      <c r="B4" s="2">
        <f t="shared" si="0"/>
        <v>3.3535013046647816E-4</v>
      </c>
    </row>
    <row r="5" spans="1:4" x14ac:dyDescent="0.3">
      <c r="A5" s="2">
        <v>-7</v>
      </c>
      <c r="B5" s="2">
        <f t="shared" si="0"/>
        <v>9.1105119440064539E-4</v>
      </c>
    </row>
    <row r="6" spans="1:4" x14ac:dyDescent="0.3">
      <c r="A6" s="2">
        <v>-6</v>
      </c>
      <c r="B6" s="2">
        <f t="shared" si="0"/>
        <v>2.4726231566347748E-3</v>
      </c>
    </row>
    <row r="7" spans="1:4" x14ac:dyDescent="0.3">
      <c r="A7" s="2">
        <v>-5</v>
      </c>
      <c r="B7" s="2">
        <f t="shared" si="0"/>
        <v>6.6928509242848563E-3</v>
      </c>
    </row>
    <row r="8" spans="1:4" x14ac:dyDescent="0.3">
      <c r="A8" s="2">
        <v>-4</v>
      </c>
      <c r="B8" s="2">
        <f t="shared" si="0"/>
        <v>1.7986209962091555E-2</v>
      </c>
    </row>
    <row r="9" spans="1:4" x14ac:dyDescent="0.3">
      <c r="A9" s="2">
        <v>-3</v>
      </c>
      <c r="B9" s="2">
        <f t="shared" si="0"/>
        <v>4.7425873177566788E-2</v>
      </c>
    </row>
    <row r="10" spans="1:4" x14ac:dyDescent="0.3">
      <c r="A10" s="2">
        <v>-2</v>
      </c>
      <c r="B10" s="2">
        <f t="shared" si="0"/>
        <v>0.11920292202211755</v>
      </c>
    </row>
    <row r="11" spans="1:4" x14ac:dyDescent="0.3">
      <c r="A11" s="2">
        <v>-1</v>
      </c>
      <c r="B11" s="2">
        <f t="shared" si="0"/>
        <v>0.2689414213699951</v>
      </c>
    </row>
    <row r="12" spans="1:4" x14ac:dyDescent="0.3">
      <c r="A12" s="2">
        <v>0</v>
      </c>
      <c r="B12" s="2">
        <f t="shared" si="0"/>
        <v>0.5</v>
      </c>
    </row>
    <row r="13" spans="1:4" x14ac:dyDescent="0.3">
      <c r="A13" s="2">
        <v>1</v>
      </c>
      <c r="B13" s="2">
        <f t="shared" si="0"/>
        <v>0.7310585786300049</v>
      </c>
    </row>
    <row r="14" spans="1:4" x14ac:dyDescent="0.3">
      <c r="A14" s="2">
        <v>2</v>
      </c>
      <c r="B14" s="2">
        <f t="shared" si="0"/>
        <v>0.88079707797788243</v>
      </c>
    </row>
    <row r="15" spans="1:4" x14ac:dyDescent="0.3">
      <c r="A15" s="2">
        <v>3</v>
      </c>
      <c r="B15" s="2">
        <f t="shared" si="0"/>
        <v>0.95257412682243325</v>
      </c>
    </row>
    <row r="16" spans="1:4" x14ac:dyDescent="0.3">
      <c r="A16" s="2">
        <v>4</v>
      </c>
      <c r="B16" s="2">
        <f t="shared" si="0"/>
        <v>0.98201379003790845</v>
      </c>
    </row>
    <row r="17" spans="1:2" x14ac:dyDescent="0.3">
      <c r="A17" s="2">
        <v>5</v>
      </c>
      <c r="B17" s="2">
        <f t="shared" si="0"/>
        <v>0.99330714907571516</v>
      </c>
    </row>
    <row r="18" spans="1:2" x14ac:dyDescent="0.3">
      <c r="A18" s="2">
        <v>6</v>
      </c>
      <c r="B18" s="2">
        <f t="shared" si="0"/>
        <v>0.99752737684336523</v>
      </c>
    </row>
    <row r="19" spans="1:2" x14ac:dyDescent="0.3">
      <c r="A19" s="2">
        <v>7</v>
      </c>
      <c r="B19" s="2">
        <f t="shared" si="0"/>
        <v>0.9990889488055994</v>
      </c>
    </row>
    <row r="20" spans="1:2" x14ac:dyDescent="0.3">
      <c r="A20" s="2">
        <v>8</v>
      </c>
      <c r="B20" s="2">
        <f t="shared" si="0"/>
        <v>0.99966464986953352</v>
      </c>
    </row>
    <row r="21" spans="1:2" x14ac:dyDescent="0.3">
      <c r="A21" s="2">
        <v>9</v>
      </c>
      <c r="B21" s="2">
        <f t="shared" si="0"/>
        <v>0.9998766054240138</v>
      </c>
    </row>
    <row r="22" spans="1:2" x14ac:dyDescent="0.3">
      <c r="A22" s="2">
        <v>10</v>
      </c>
      <c r="B22" s="2">
        <f t="shared" si="0"/>
        <v>0.99995460213129761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685A7-2A2B-46DF-ADD6-CBE13DD7C874}">
  <dimension ref="D3:J24"/>
  <sheetViews>
    <sheetView topLeftCell="A6" zoomScale="130" zoomScaleNormal="130" workbookViewId="0">
      <selection activeCell="F19" sqref="F19:G24"/>
    </sheetView>
  </sheetViews>
  <sheetFormatPr defaultRowHeight="14.4" x14ac:dyDescent="0.3"/>
  <cols>
    <col min="5" max="5" width="10.88671875" bestFit="1" customWidth="1"/>
    <col min="6" max="6" width="37.5546875" style="2" customWidth="1"/>
    <col min="7" max="7" width="14.5546875" style="2" customWidth="1"/>
    <col min="8" max="8" width="14.77734375" style="2" bestFit="1" customWidth="1"/>
    <col min="9" max="9" width="8.88671875" style="2"/>
  </cols>
  <sheetData>
    <row r="3" spans="4:10" x14ac:dyDescent="0.3">
      <c r="H3" s="2" t="s">
        <v>148</v>
      </c>
      <c r="I3" s="2" t="s">
        <v>149</v>
      </c>
    </row>
    <row r="4" spans="4:10" x14ac:dyDescent="0.3">
      <c r="F4" s="2" t="s">
        <v>148</v>
      </c>
      <c r="H4" s="3">
        <v>1</v>
      </c>
    </row>
    <row r="5" spans="4:10" x14ac:dyDescent="0.3">
      <c r="F5" s="2" t="s">
        <v>149</v>
      </c>
      <c r="I5" s="3">
        <v>1</v>
      </c>
    </row>
    <row r="7" spans="4:10" x14ac:dyDescent="0.3">
      <c r="D7" s="2"/>
      <c r="E7" s="2" t="s">
        <v>150</v>
      </c>
      <c r="F7" s="2" t="s">
        <v>151</v>
      </c>
      <c r="G7" s="2" t="s">
        <v>156</v>
      </c>
      <c r="H7" s="2" t="s">
        <v>154</v>
      </c>
      <c r="I7" s="2">
        <v>0.5</v>
      </c>
      <c r="J7" s="2" t="s">
        <v>155</v>
      </c>
    </row>
    <row r="8" spans="4:10" x14ac:dyDescent="0.3">
      <c r="D8" s="2">
        <v>1</v>
      </c>
      <c r="E8" s="2" t="s">
        <v>152</v>
      </c>
      <c r="F8" s="2">
        <v>0.1</v>
      </c>
      <c r="G8" s="8" t="s">
        <v>152</v>
      </c>
    </row>
    <row r="9" spans="4:10" x14ac:dyDescent="0.3">
      <c r="D9" s="2">
        <v>2</v>
      </c>
      <c r="E9" s="2" t="s">
        <v>152</v>
      </c>
      <c r="F9" s="2">
        <v>0.25</v>
      </c>
      <c r="G9" s="8" t="s">
        <v>152</v>
      </c>
    </row>
    <row r="10" spans="4:10" x14ac:dyDescent="0.3">
      <c r="D10" s="2">
        <v>3</v>
      </c>
      <c r="E10" s="2" t="s">
        <v>152</v>
      </c>
      <c r="F10" s="2">
        <v>0.4</v>
      </c>
      <c r="G10" s="8" t="s">
        <v>152</v>
      </c>
    </row>
    <row r="11" spans="4:10" x14ac:dyDescent="0.3">
      <c r="D11" s="2">
        <v>4</v>
      </c>
      <c r="E11" s="2" t="s">
        <v>152</v>
      </c>
      <c r="F11" s="2">
        <v>0.6</v>
      </c>
      <c r="G11" s="31" t="s">
        <v>153</v>
      </c>
      <c r="H11" s="2" t="s">
        <v>157</v>
      </c>
      <c r="I11" s="2">
        <v>2</v>
      </c>
    </row>
    <row r="12" spans="4:10" x14ac:dyDescent="0.3">
      <c r="D12" s="2">
        <v>5</v>
      </c>
      <c r="E12" s="2" t="s">
        <v>152</v>
      </c>
      <c r="F12" s="2">
        <v>0.8</v>
      </c>
      <c r="G12" s="31" t="s">
        <v>153</v>
      </c>
      <c r="H12" s="2" t="s">
        <v>157</v>
      </c>
    </row>
    <row r="13" spans="4:10" x14ac:dyDescent="0.3">
      <c r="D13" s="2">
        <v>6</v>
      </c>
      <c r="E13" s="2" t="s">
        <v>153</v>
      </c>
      <c r="F13" s="2">
        <v>0.35</v>
      </c>
      <c r="G13" s="31" t="s">
        <v>152</v>
      </c>
      <c r="H13" s="2" t="s">
        <v>158</v>
      </c>
      <c r="I13" s="2">
        <v>1</v>
      </c>
    </row>
    <row r="14" spans="4:10" x14ac:dyDescent="0.3">
      <c r="D14" s="2">
        <v>7</v>
      </c>
      <c r="E14" s="2" t="s">
        <v>153</v>
      </c>
      <c r="F14" s="2">
        <v>0.55000000000000004</v>
      </c>
      <c r="G14" s="8" t="s">
        <v>153</v>
      </c>
    </row>
    <row r="15" spans="4:10" x14ac:dyDescent="0.3">
      <c r="D15" s="2">
        <v>8</v>
      </c>
      <c r="E15" s="2" t="s">
        <v>153</v>
      </c>
      <c r="F15" s="2">
        <v>0.7</v>
      </c>
      <c r="G15" s="8" t="s">
        <v>153</v>
      </c>
    </row>
    <row r="16" spans="4:10" x14ac:dyDescent="0.3">
      <c r="D16" s="2">
        <v>9</v>
      </c>
      <c r="E16" s="2" t="s">
        <v>153</v>
      </c>
      <c r="F16" s="2">
        <v>0.85</v>
      </c>
      <c r="G16" s="8" t="s">
        <v>153</v>
      </c>
    </row>
    <row r="17" spans="4:8" x14ac:dyDescent="0.3">
      <c r="D17" s="2">
        <v>10</v>
      </c>
      <c r="E17" s="2" t="s">
        <v>153</v>
      </c>
      <c r="F17" s="2">
        <v>0.95</v>
      </c>
      <c r="G17" s="8" t="s">
        <v>153</v>
      </c>
    </row>
    <row r="19" spans="4:8" x14ac:dyDescent="0.3">
      <c r="E19" s="2" t="s">
        <v>159</v>
      </c>
      <c r="F19" s="2" t="s">
        <v>3</v>
      </c>
      <c r="G19" s="2" t="s">
        <v>160</v>
      </c>
    </row>
    <row r="20" spans="4:8" x14ac:dyDescent="0.3">
      <c r="E20" s="16">
        <v>1</v>
      </c>
      <c r="F20" s="31">
        <v>3.5</v>
      </c>
      <c r="G20" s="31">
        <v>33</v>
      </c>
    </row>
    <row r="21" spans="4:8" x14ac:dyDescent="0.3">
      <c r="E21" s="13">
        <v>2</v>
      </c>
      <c r="F21" s="32">
        <v>9.8000000000000007</v>
      </c>
      <c r="G21" s="8">
        <v>120</v>
      </c>
    </row>
    <row r="22" spans="4:8" x14ac:dyDescent="0.3">
      <c r="E22" s="13">
        <v>3</v>
      </c>
      <c r="F22" s="32">
        <v>10.199999999999999</v>
      </c>
      <c r="G22" s="8">
        <v>124</v>
      </c>
    </row>
    <row r="23" spans="4:8" x14ac:dyDescent="0.3">
      <c r="E23" s="16">
        <v>4</v>
      </c>
      <c r="F23" s="31">
        <v>4</v>
      </c>
      <c r="G23" s="31">
        <v>42</v>
      </c>
    </row>
    <row r="24" spans="4:8" x14ac:dyDescent="0.3">
      <c r="E24" s="16">
        <v>5</v>
      </c>
      <c r="F24" s="31">
        <v>3.8</v>
      </c>
      <c r="G24" s="31">
        <f>(G20+G23)/2</f>
        <v>37.5</v>
      </c>
      <c r="H24" s="8">
        <v>79.5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62966-6414-4E2E-9A19-A0EB7E3440CE}">
  <dimension ref="D3:F9"/>
  <sheetViews>
    <sheetView workbookViewId="0">
      <selection activeCell="D3" sqref="D3:D9"/>
    </sheetView>
  </sheetViews>
  <sheetFormatPr defaultRowHeight="14.4" x14ac:dyDescent="0.3"/>
  <cols>
    <col min="5" max="5" width="11" customWidth="1"/>
    <col min="6" max="6" width="13" customWidth="1"/>
  </cols>
  <sheetData>
    <row r="3" spans="4:6" x14ac:dyDescent="0.3">
      <c r="D3" s="2" t="s">
        <v>161</v>
      </c>
      <c r="E3" s="2" t="s">
        <v>162</v>
      </c>
      <c r="F3" s="2" t="s">
        <v>163</v>
      </c>
    </row>
    <row r="4" spans="4:6" x14ac:dyDescent="0.3">
      <c r="D4" s="33">
        <v>1</v>
      </c>
      <c r="E4" s="2">
        <v>1</v>
      </c>
      <c r="F4" s="2" t="s">
        <v>164</v>
      </c>
    </row>
    <row r="5" spans="4:6" x14ac:dyDescent="0.3">
      <c r="D5" s="33">
        <v>2</v>
      </c>
      <c r="E5" s="2">
        <v>4</v>
      </c>
      <c r="F5" s="2" t="s">
        <v>164</v>
      </c>
    </row>
    <row r="6" spans="4:6" x14ac:dyDescent="0.3">
      <c r="D6" s="33">
        <v>3</v>
      </c>
      <c r="E6" s="2">
        <v>9</v>
      </c>
      <c r="F6" s="2" t="s">
        <v>165</v>
      </c>
    </row>
    <row r="7" spans="4:6" x14ac:dyDescent="0.3">
      <c r="D7" s="33">
        <v>4</v>
      </c>
      <c r="E7" s="2">
        <v>16</v>
      </c>
      <c r="F7" s="2" t="s">
        <v>165</v>
      </c>
    </row>
    <row r="8" spans="4:6" x14ac:dyDescent="0.3">
      <c r="D8" s="33">
        <v>6</v>
      </c>
      <c r="E8" s="2">
        <v>36</v>
      </c>
      <c r="F8" s="2" t="s">
        <v>164</v>
      </c>
    </row>
    <row r="9" spans="4:6" x14ac:dyDescent="0.3">
      <c r="D9" s="33">
        <v>7</v>
      </c>
      <c r="E9" s="2">
        <v>49</v>
      </c>
      <c r="F9" s="2" t="s">
        <v>164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0218F-5613-41F5-87DC-B82D45EEC794}">
  <dimension ref="G7:K13"/>
  <sheetViews>
    <sheetView workbookViewId="0">
      <selection activeCell="J13" sqref="J13"/>
    </sheetView>
  </sheetViews>
  <sheetFormatPr defaultRowHeight="14.4" x14ac:dyDescent="0.3"/>
  <sheetData>
    <row r="7" spans="7:11" x14ac:dyDescent="0.3">
      <c r="G7" t="s">
        <v>166</v>
      </c>
    </row>
    <row r="9" spans="7:11" x14ac:dyDescent="0.3">
      <c r="G9" t="s">
        <v>167</v>
      </c>
    </row>
    <row r="10" spans="7:11" x14ac:dyDescent="0.3">
      <c r="G10" t="s">
        <v>177</v>
      </c>
      <c r="H10" t="s">
        <v>176</v>
      </c>
      <c r="I10" t="s">
        <v>175</v>
      </c>
      <c r="J10" t="s">
        <v>174</v>
      </c>
      <c r="K10" t="s">
        <v>172</v>
      </c>
    </row>
    <row r="11" spans="7:11" x14ac:dyDescent="0.3">
      <c r="G11" t="s">
        <v>168</v>
      </c>
      <c r="H11" t="s">
        <v>169</v>
      </c>
      <c r="I11" t="s">
        <v>170</v>
      </c>
      <c r="J11" t="s">
        <v>171</v>
      </c>
      <c r="K11" t="s">
        <v>173</v>
      </c>
    </row>
    <row r="12" spans="7:11" x14ac:dyDescent="0.3">
      <c r="G12">
        <v>1090</v>
      </c>
      <c r="H12">
        <v>1075</v>
      </c>
      <c r="I12">
        <v>1200</v>
      </c>
      <c r="J12">
        <v>1100</v>
      </c>
      <c r="K12">
        <f>AVERAGE(G12:J12)</f>
        <v>1116.25</v>
      </c>
    </row>
    <row r="13" spans="7:11" x14ac:dyDescent="0.3">
      <c r="G13">
        <f>1-SUM(H13:J13)</f>
        <v>0.13</v>
      </c>
      <c r="H13">
        <v>7.0000000000000007E-2</v>
      </c>
      <c r="I13">
        <v>0.2</v>
      </c>
      <c r="J13">
        <v>0.6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FD33-60EB-424B-8484-95EB02DFD4FD}">
  <dimension ref="C2:L34"/>
  <sheetViews>
    <sheetView zoomScale="120" zoomScaleNormal="120" workbookViewId="0">
      <selection activeCell="L5" sqref="L5:L8"/>
    </sheetView>
  </sheetViews>
  <sheetFormatPr defaultRowHeight="14.4" x14ac:dyDescent="0.3"/>
  <cols>
    <col min="3" max="3" width="12.6640625" customWidth="1"/>
    <col min="4" max="4" width="9.5546875" bestFit="1" customWidth="1"/>
    <col min="5" max="5" width="7.88671875" bestFit="1" customWidth="1"/>
    <col min="6" max="6" width="7.5546875" bestFit="1" customWidth="1"/>
    <col min="8" max="8" width="13.88671875" bestFit="1" customWidth="1"/>
    <col min="12" max="12" width="19.33203125" bestFit="1" customWidth="1"/>
  </cols>
  <sheetData>
    <row r="2" spans="3:12" x14ac:dyDescent="0.3">
      <c r="C2">
        <v>31</v>
      </c>
    </row>
    <row r="3" spans="3:12" x14ac:dyDescent="0.3">
      <c r="D3" t="s">
        <v>178</v>
      </c>
      <c r="E3" t="s">
        <v>179</v>
      </c>
      <c r="F3" t="s">
        <v>180</v>
      </c>
      <c r="G3" t="s">
        <v>181</v>
      </c>
      <c r="H3" t="s">
        <v>182</v>
      </c>
      <c r="L3" t="s">
        <v>191</v>
      </c>
    </row>
    <row r="4" spans="3:12" x14ac:dyDescent="0.3">
      <c r="C4">
        <v>1</v>
      </c>
      <c r="E4">
        <v>1</v>
      </c>
      <c r="K4" s="13" t="s">
        <v>193</v>
      </c>
    </row>
    <row r="5" spans="3:12" x14ac:dyDescent="0.3">
      <c r="C5">
        <v>2</v>
      </c>
      <c r="K5" s="13" t="s">
        <v>183</v>
      </c>
      <c r="L5" s="13" t="s">
        <v>190</v>
      </c>
    </row>
    <row r="6" spans="3:12" x14ac:dyDescent="0.3">
      <c r="C6">
        <v>3</v>
      </c>
      <c r="K6" s="13" t="s">
        <v>185</v>
      </c>
      <c r="L6" s="13" t="s">
        <v>184</v>
      </c>
    </row>
    <row r="7" spans="3:12" x14ac:dyDescent="0.3">
      <c r="C7">
        <v>4</v>
      </c>
      <c r="K7" s="13" t="s">
        <v>186</v>
      </c>
      <c r="L7" s="13" t="s">
        <v>187</v>
      </c>
    </row>
    <row r="8" spans="3:12" x14ac:dyDescent="0.3">
      <c r="C8">
        <v>5</v>
      </c>
      <c r="K8" s="13" t="s">
        <v>188</v>
      </c>
      <c r="L8" s="13" t="s">
        <v>189</v>
      </c>
    </row>
    <row r="9" spans="3:12" x14ac:dyDescent="0.3">
      <c r="C9">
        <v>6</v>
      </c>
    </row>
    <row r="10" spans="3:12" x14ac:dyDescent="0.3">
      <c r="C10">
        <v>7</v>
      </c>
      <c r="K10" s="13" t="s">
        <v>192</v>
      </c>
    </row>
    <row r="11" spans="3:12" x14ac:dyDescent="0.3">
      <c r="C11">
        <v>8</v>
      </c>
      <c r="L11" s="13" t="s">
        <v>194</v>
      </c>
    </row>
    <row r="12" spans="3:12" x14ac:dyDescent="0.3">
      <c r="C12">
        <v>9</v>
      </c>
    </row>
    <row r="13" spans="3:12" x14ac:dyDescent="0.3">
      <c r="C13">
        <v>10</v>
      </c>
    </row>
    <row r="14" spans="3:12" x14ac:dyDescent="0.3">
      <c r="C14">
        <v>11</v>
      </c>
    </row>
    <row r="15" spans="3:12" x14ac:dyDescent="0.3">
      <c r="C15">
        <v>12</v>
      </c>
    </row>
    <row r="16" spans="3:12" x14ac:dyDescent="0.3">
      <c r="C16">
        <v>13</v>
      </c>
    </row>
    <row r="17" spans="3:3" x14ac:dyDescent="0.3">
      <c r="C17">
        <v>14</v>
      </c>
    </row>
    <row r="18" spans="3:3" x14ac:dyDescent="0.3">
      <c r="C18">
        <v>15</v>
      </c>
    </row>
    <row r="19" spans="3:3" x14ac:dyDescent="0.3">
      <c r="C19">
        <v>16</v>
      </c>
    </row>
    <row r="20" spans="3:3" x14ac:dyDescent="0.3">
      <c r="C20">
        <v>17</v>
      </c>
    </row>
    <row r="21" spans="3:3" x14ac:dyDescent="0.3">
      <c r="C21">
        <v>18</v>
      </c>
    </row>
    <row r="22" spans="3:3" x14ac:dyDescent="0.3">
      <c r="C22">
        <v>19</v>
      </c>
    </row>
    <row r="23" spans="3:3" x14ac:dyDescent="0.3">
      <c r="C23">
        <v>20</v>
      </c>
    </row>
    <row r="24" spans="3:3" x14ac:dyDescent="0.3">
      <c r="C24">
        <v>21</v>
      </c>
    </row>
    <row r="25" spans="3:3" x14ac:dyDescent="0.3">
      <c r="C25">
        <v>22</v>
      </c>
    </row>
    <row r="26" spans="3:3" x14ac:dyDescent="0.3">
      <c r="C26">
        <v>23</v>
      </c>
    </row>
    <row r="27" spans="3:3" x14ac:dyDescent="0.3">
      <c r="C27">
        <v>24</v>
      </c>
    </row>
    <row r="28" spans="3:3" x14ac:dyDescent="0.3">
      <c r="C28">
        <v>25</v>
      </c>
    </row>
    <row r="29" spans="3:3" x14ac:dyDescent="0.3">
      <c r="C29">
        <v>26</v>
      </c>
    </row>
    <row r="30" spans="3:3" x14ac:dyDescent="0.3">
      <c r="C30">
        <v>27</v>
      </c>
    </row>
    <row r="31" spans="3:3" x14ac:dyDescent="0.3">
      <c r="C31">
        <v>28</v>
      </c>
    </row>
    <row r="32" spans="3:3" x14ac:dyDescent="0.3">
      <c r="C32">
        <v>29</v>
      </c>
    </row>
    <row r="33" spans="3:3" x14ac:dyDescent="0.3">
      <c r="C33">
        <v>30</v>
      </c>
    </row>
    <row r="34" spans="3:3" x14ac:dyDescent="0.3">
      <c r="C34">
        <v>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C5C17-A5D9-4E39-84CA-DB5541F8E5E2}">
  <dimension ref="C2:Q29"/>
  <sheetViews>
    <sheetView topLeftCell="A5" workbookViewId="0">
      <selection activeCell="M12" sqref="M12:O12"/>
    </sheetView>
  </sheetViews>
  <sheetFormatPr defaultRowHeight="14.4" x14ac:dyDescent="0.3"/>
  <sheetData>
    <row r="2" spans="3:17" x14ac:dyDescent="0.3">
      <c r="C2" s="34" t="s">
        <v>148</v>
      </c>
      <c r="D2" s="34" t="s">
        <v>149</v>
      </c>
      <c r="E2" s="34"/>
      <c r="F2" s="34"/>
      <c r="G2" s="34"/>
      <c r="H2" s="34"/>
      <c r="I2" s="34"/>
      <c r="J2" s="34" t="s">
        <v>195</v>
      </c>
    </row>
    <row r="3" spans="3:17" x14ac:dyDescent="0.3">
      <c r="C3" s="35"/>
      <c r="D3" s="35"/>
      <c r="E3" s="35"/>
      <c r="F3" s="35"/>
      <c r="G3" s="35"/>
      <c r="H3" s="35"/>
      <c r="I3" s="35"/>
      <c r="J3" s="35"/>
    </row>
    <row r="4" spans="3:17" x14ac:dyDescent="0.3">
      <c r="C4" s="35"/>
      <c r="D4" s="35"/>
      <c r="E4" s="35"/>
      <c r="F4" s="35"/>
      <c r="G4" s="35"/>
      <c r="H4" s="35"/>
      <c r="I4" s="35"/>
      <c r="J4" s="35"/>
      <c r="M4" t="s">
        <v>196</v>
      </c>
      <c r="O4" t="s">
        <v>197</v>
      </c>
    </row>
    <row r="5" spans="3:17" x14ac:dyDescent="0.3">
      <c r="C5" s="35"/>
      <c r="D5" s="35"/>
      <c r="E5" s="35"/>
      <c r="F5" s="35"/>
      <c r="G5" s="35"/>
      <c r="H5" s="35"/>
      <c r="I5" s="35"/>
      <c r="J5" s="35"/>
    </row>
    <row r="6" spans="3:17" x14ac:dyDescent="0.3">
      <c r="C6" s="35"/>
      <c r="D6" s="35"/>
      <c r="E6" s="35"/>
      <c r="F6" s="35"/>
      <c r="G6" s="35"/>
      <c r="H6" s="35"/>
      <c r="I6" s="35"/>
      <c r="J6" s="35"/>
      <c r="M6" t="s">
        <v>198</v>
      </c>
    </row>
    <row r="7" spans="3:17" x14ac:dyDescent="0.3">
      <c r="C7" s="35"/>
      <c r="D7" s="35"/>
      <c r="E7" s="35"/>
      <c r="F7" s="35"/>
      <c r="G7" s="35"/>
      <c r="H7" s="35"/>
      <c r="I7" s="35"/>
      <c r="J7" s="35"/>
      <c r="M7" s="13">
        <v>1000</v>
      </c>
      <c r="O7" s="13" t="s">
        <v>199</v>
      </c>
      <c r="P7" s="13" t="s">
        <v>200</v>
      </c>
      <c r="Q7" s="13" t="s">
        <v>201</v>
      </c>
    </row>
    <row r="8" spans="3:17" x14ac:dyDescent="0.3">
      <c r="C8" s="35"/>
      <c r="D8" s="35"/>
      <c r="E8" s="35"/>
      <c r="F8" s="35"/>
      <c r="G8" s="35"/>
      <c r="H8" s="35"/>
      <c r="I8" s="35"/>
      <c r="J8" s="35"/>
      <c r="O8" s="13">
        <v>700</v>
      </c>
      <c r="P8" s="13">
        <v>180</v>
      </c>
      <c r="Q8" s="13">
        <v>120</v>
      </c>
    </row>
    <row r="9" spans="3:17" x14ac:dyDescent="0.3">
      <c r="C9" s="35"/>
      <c r="D9" s="35"/>
      <c r="E9" s="35"/>
      <c r="F9" s="35"/>
      <c r="G9" s="35"/>
      <c r="H9" s="35"/>
      <c r="I9" s="35"/>
      <c r="J9" s="35"/>
    </row>
    <row r="10" spans="3:17" x14ac:dyDescent="0.3">
      <c r="C10" s="35"/>
      <c r="D10" s="35"/>
      <c r="E10" s="35"/>
      <c r="F10" s="35"/>
      <c r="G10" s="35"/>
      <c r="H10" s="35"/>
      <c r="I10" s="35"/>
      <c r="J10" s="35"/>
    </row>
    <row r="11" spans="3:17" x14ac:dyDescent="0.3">
      <c r="C11" s="35"/>
      <c r="D11" s="35"/>
      <c r="E11" s="35"/>
      <c r="F11" s="35"/>
      <c r="G11" s="35"/>
      <c r="H11" s="35"/>
      <c r="I11" s="35"/>
      <c r="J11" s="35"/>
    </row>
    <row r="12" spans="3:17" x14ac:dyDescent="0.3">
      <c r="C12" s="35"/>
      <c r="D12" s="35"/>
      <c r="E12" s="35"/>
      <c r="F12" s="35"/>
      <c r="G12" s="35"/>
      <c r="H12" s="35"/>
      <c r="I12" s="35"/>
      <c r="J12" s="35"/>
      <c r="M12">
        <v>8</v>
      </c>
      <c r="N12">
        <v>7</v>
      </c>
      <c r="O12">
        <v>5</v>
      </c>
    </row>
    <row r="13" spans="3:17" x14ac:dyDescent="0.3">
      <c r="C13" s="35"/>
      <c r="D13" s="35"/>
      <c r="E13" s="35"/>
      <c r="F13" s="35"/>
      <c r="G13" s="35"/>
      <c r="H13" s="35"/>
      <c r="I13" s="35"/>
      <c r="J13" s="35"/>
    </row>
    <row r="14" spans="3:17" x14ac:dyDescent="0.3">
      <c r="C14" s="35"/>
      <c r="D14" s="35"/>
      <c r="E14" s="35"/>
      <c r="F14" s="35"/>
      <c r="G14" s="35"/>
      <c r="H14" s="35"/>
      <c r="I14" s="35"/>
      <c r="J14" s="35"/>
      <c r="O14">
        <v>6.6660000000000004</v>
      </c>
    </row>
    <row r="15" spans="3:17" x14ac:dyDescent="0.3">
      <c r="C15" s="35"/>
      <c r="D15" s="35"/>
      <c r="E15" s="35"/>
      <c r="F15" s="35"/>
      <c r="G15" s="35"/>
      <c r="H15" s="35"/>
      <c r="I15" s="35"/>
      <c r="J15" s="35"/>
    </row>
    <row r="16" spans="3:17" x14ac:dyDescent="0.3">
      <c r="C16" s="35"/>
      <c r="D16" s="35"/>
      <c r="E16" s="35"/>
      <c r="F16" s="35"/>
      <c r="G16" s="35"/>
      <c r="H16" s="35"/>
      <c r="I16" s="35"/>
      <c r="J16" s="35"/>
    </row>
    <row r="17" spans="3:10" x14ac:dyDescent="0.3">
      <c r="C17" s="35"/>
      <c r="D17" s="35"/>
      <c r="E17" s="35"/>
      <c r="F17" s="35"/>
      <c r="G17" s="35"/>
      <c r="H17" s="35"/>
      <c r="I17" s="35"/>
      <c r="J17" s="35"/>
    </row>
    <row r="18" spans="3:10" x14ac:dyDescent="0.3">
      <c r="C18" s="35"/>
      <c r="D18" s="35"/>
      <c r="E18" s="35"/>
      <c r="F18" s="35"/>
      <c r="G18" s="35"/>
      <c r="H18" s="35"/>
      <c r="I18" s="35"/>
      <c r="J18" s="35"/>
    </row>
    <row r="19" spans="3:10" x14ac:dyDescent="0.3">
      <c r="C19" s="35"/>
      <c r="D19" s="35"/>
      <c r="E19" s="35"/>
      <c r="F19" s="35"/>
      <c r="G19" s="35"/>
      <c r="H19" s="35"/>
      <c r="I19" s="35"/>
      <c r="J19" s="35"/>
    </row>
    <row r="20" spans="3:10" x14ac:dyDescent="0.3">
      <c r="C20" s="35"/>
      <c r="D20" s="35"/>
      <c r="E20" s="35"/>
      <c r="F20" s="35"/>
      <c r="G20" s="35"/>
      <c r="H20" s="35"/>
      <c r="I20" s="35"/>
      <c r="J20" s="35"/>
    </row>
    <row r="21" spans="3:10" x14ac:dyDescent="0.3">
      <c r="C21" s="35"/>
      <c r="D21" s="35"/>
      <c r="E21" s="35"/>
      <c r="F21" s="35"/>
      <c r="G21" s="35"/>
      <c r="H21" s="35"/>
      <c r="I21" s="35"/>
      <c r="J21" s="35"/>
    </row>
    <row r="22" spans="3:10" x14ac:dyDescent="0.3">
      <c r="C22" s="35"/>
      <c r="D22" s="35"/>
      <c r="E22" s="35"/>
      <c r="F22" s="35"/>
      <c r="G22" s="35"/>
      <c r="H22" s="35"/>
      <c r="I22" s="35"/>
      <c r="J22" s="35"/>
    </row>
    <row r="23" spans="3:10" x14ac:dyDescent="0.3">
      <c r="C23" s="35"/>
      <c r="D23" s="35"/>
      <c r="E23" s="35"/>
      <c r="F23" s="35"/>
      <c r="G23" s="35"/>
      <c r="H23" s="35"/>
      <c r="I23" s="35"/>
      <c r="J23" s="35"/>
    </row>
    <row r="24" spans="3:10" x14ac:dyDescent="0.3">
      <c r="C24" s="35"/>
      <c r="D24" s="35"/>
      <c r="E24" s="35"/>
      <c r="F24" s="35"/>
      <c r="G24" s="35"/>
      <c r="H24" s="35"/>
      <c r="I24" s="35"/>
      <c r="J24" s="35"/>
    </row>
    <row r="25" spans="3:10" x14ac:dyDescent="0.3">
      <c r="C25" s="35"/>
      <c r="D25" s="35"/>
      <c r="E25" s="35"/>
      <c r="F25" s="35"/>
      <c r="G25" s="35"/>
      <c r="H25" s="35"/>
      <c r="I25" s="35"/>
      <c r="J25" s="35"/>
    </row>
    <row r="26" spans="3:10" x14ac:dyDescent="0.3">
      <c r="C26" s="35"/>
      <c r="D26" s="35"/>
      <c r="E26" s="35"/>
      <c r="F26" s="35"/>
      <c r="G26" s="35"/>
      <c r="H26" s="35"/>
      <c r="I26" s="35"/>
      <c r="J26" s="35"/>
    </row>
    <row r="27" spans="3:10" x14ac:dyDescent="0.3">
      <c r="C27" s="35"/>
      <c r="D27" s="35"/>
      <c r="E27" s="35"/>
      <c r="F27" s="35"/>
      <c r="G27" s="35"/>
      <c r="H27" s="35"/>
      <c r="I27" s="35"/>
      <c r="J27" s="35"/>
    </row>
    <row r="28" spans="3:10" x14ac:dyDescent="0.3">
      <c r="C28" s="35"/>
      <c r="D28" s="35"/>
      <c r="E28" s="35"/>
      <c r="F28" s="35"/>
      <c r="G28" s="35"/>
      <c r="H28" s="35"/>
      <c r="I28" s="35"/>
      <c r="J28" s="35"/>
    </row>
    <row r="29" spans="3:10" x14ac:dyDescent="0.3">
      <c r="C29" s="35"/>
      <c r="D29" s="35"/>
      <c r="E29" s="35"/>
      <c r="F29" s="35"/>
      <c r="G29" s="35"/>
      <c r="H29" s="35"/>
      <c r="I29" s="35"/>
      <c r="J29" s="3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D625-2B91-4E27-BB16-2C8B34BB831A}">
  <dimension ref="E4:M27"/>
  <sheetViews>
    <sheetView topLeftCell="A3" workbookViewId="0">
      <selection activeCell="H22" sqref="H22"/>
    </sheetView>
  </sheetViews>
  <sheetFormatPr defaultColWidth="12.88671875" defaultRowHeight="14.4" x14ac:dyDescent="0.3"/>
  <sheetData>
    <row r="4" spans="5:13" x14ac:dyDescent="0.3">
      <c r="F4" t="s">
        <v>203</v>
      </c>
    </row>
    <row r="5" spans="5:13" x14ac:dyDescent="0.3">
      <c r="F5" s="13" t="s">
        <v>216</v>
      </c>
      <c r="G5" s="13" t="s">
        <v>217</v>
      </c>
      <c r="H5" s="13" t="s">
        <v>218</v>
      </c>
      <c r="I5" s="13" t="s">
        <v>219</v>
      </c>
    </row>
    <row r="6" spans="5:13" x14ac:dyDescent="0.3">
      <c r="E6" s="36" t="s">
        <v>202</v>
      </c>
      <c r="F6" s="37" t="s">
        <v>209</v>
      </c>
      <c r="G6" s="37" t="s">
        <v>210</v>
      </c>
      <c r="H6" s="37" t="s">
        <v>211</v>
      </c>
      <c r="I6" s="37" t="s">
        <v>212</v>
      </c>
      <c r="J6" s="37" t="s">
        <v>213</v>
      </c>
      <c r="K6" s="37" t="s">
        <v>214</v>
      </c>
      <c r="L6" s="37" t="s">
        <v>215</v>
      </c>
      <c r="M6" s="38" t="s">
        <v>223</v>
      </c>
    </row>
    <row r="7" spans="5:13" x14ac:dyDescent="0.3">
      <c r="E7" s="34" t="s">
        <v>204</v>
      </c>
      <c r="F7" s="37">
        <v>5</v>
      </c>
      <c r="G7" s="37">
        <v>4</v>
      </c>
      <c r="H7" s="37">
        <v>1</v>
      </c>
      <c r="I7" s="37"/>
      <c r="J7" s="37"/>
      <c r="K7" s="37"/>
      <c r="L7" s="37"/>
    </row>
    <row r="8" spans="5:13" x14ac:dyDescent="0.3">
      <c r="E8" s="36" t="s">
        <v>205</v>
      </c>
      <c r="F8" s="37">
        <v>4</v>
      </c>
      <c r="G8" s="37">
        <v>5</v>
      </c>
      <c r="H8" s="37">
        <v>2</v>
      </c>
      <c r="I8" s="37">
        <v>5</v>
      </c>
      <c r="J8" s="37"/>
      <c r="K8" s="37"/>
      <c r="L8" s="37"/>
    </row>
    <row r="9" spans="5:13" x14ac:dyDescent="0.3">
      <c r="E9" s="34" t="s">
        <v>206</v>
      </c>
      <c r="F9" s="37"/>
      <c r="G9" s="37"/>
      <c r="H9" s="37"/>
      <c r="I9" s="37"/>
      <c r="J9" s="37"/>
      <c r="K9" s="37"/>
      <c r="L9" s="37"/>
    </row>
    <row r="10" spans="5:13" x14ac:dyDescent="0.3">
      <c r="E10" s="36" t="s">
        <v>207</v>
      </c>
      <c r="F10" s="37"/>
      <c r="G10" s="37"/>
      <c r="H10" s="37">
        <v>5</v>
      </c>
      <c r="I10" s="37"/>
      <c r="J10" s="37"/>
      <c r="K10" s="37"/>
      <c r="L10" s="37"/>
    </row>
    <row r="11" spans="5:13" x14ac:dyDescent="0.3">
      <c r="E11" s="36" t="s">
        <v>208</v>
      </c>
      <c r="F11" s="37"/>
      <c r="G11" s="37"/>
      <c r="H11" s="37"/>
      <c r="I11" s="37"/>
      <c r="J11" s="37"/>
      <c r="K11" s="37"/>
      <c r="L11" s="37"/>
    </row>
    <row r="14" spans="5:13" x14ac:dyDescent="0.3">
      <c r="E14" s="36" t="s">
        <v>202</v>
      </c>
      <c r="F14" s="37" t="s">
        <v>209</v>
      </c>
      <c r="G14" s="37" t="s">
        <v>210</v>
      </c>
      <c r="H14" s="37" t="s">
        <v>211</v>
      </c>
      <c r="I14" s="37" t="s">
        <v>212</v>
      </c>
      <c r="J14" s="37" t="s">
        <v>213</v>
      </c>
      <c r="K14" s="37" t="s">
        <v>214</v>
      </c>
      <c r="L14" s="37" t="s">
        <v>215</v>
      </c>
    </row>
    <row r="15" spans="5:13" x14ac:dyDescent="0.3">
      <c r="E15" s="34" t="s">
        <v>204</v>
      </c>
      <c r="F15" s="37">
        <v>2</v>
      </c>
      <c r="G15" s="37"/>
      <c r="H15" s="37">
        <v>2</v>
      </c>
      <c r="I15" s="37">
        <v>4.8</v>
      </c>
      <c r="J15" s="37"/>
      <c r="K15" s="37"/>
      <c r="L15" s="37"/>
    </row>
    <row r="16" spans="5:13" x14ac:dyDescent="0.3">
      <c r="E16" s="36" t="s">
        <v>205</v>
      </c>
      <c r="F16" s="37">
        <v>5</v>
      </c>
      <c r="G16" s="37"/>
      <c r="H16" s="37"/>
      <c r="I16" s="37"/>
      <c r="J16" s="37"/>
      <c r="K16" s="37"/>
      <c r="L16" s="37"/>
    </row>
    <row r="17" spans="5:13" x14ac:dyDescent="0.3">
      <c r="E17" s="34" t="s">
        <v>206</v>
      </c>
      <c r="F17" s="37">
        <v>1</v>
      </c>
      <c r="G17" s="37"/>
      <c r="H17" s="37">
        <v>1</v>
      </c>
      <c r="I17" s="37"/>
      <c r="J17" s="37"/>
      <c r="K17" s="37"/>
      <c r="L17" s="37"/>
    </row>
    <row r="18" spans="5:13" x14ac:dyDescent="0.3">
      <c r="E18" s="36" t="s">
        <v>207</v>
      </c>
      <c r="F18" s="37">
        <v>4</v>
      </c>
      <c r="G18" s="37"/>
      <c r="H18" s="37"/>
      <c r="I18" s="37"/>
      <c r="J18" s="37"/>
      <c r="K18" s="37"/>
      <c r="L18" s="37"/>
    </row>
    <row r="19" spans="5:13" x14ac:dyDescent="0.3">
      <c r="E19" s="36" t="s">
        <v>208</v>
      </c>
      <c r="F19" s="37"/>
      <c r="G19" s="37"/>
      <c r="H19" s="37"/>
      <c r="I19" s="37"/>
      <c r="J19" s="37"/>
      <c r="K19" s="37"/>
      <c r="L19" s="37"/>
    </row>
    <row r="22" spans="5:13" x14ac:dyDescent="0.3">
      <c r="K22" t="s">
        <v>226</v>
      </c>
      <c r="L22" t="s">
        <v>227</v>
      </c>
    </row>
    <row r="23" spans="5:13" x14ac:dyDescent="0.3">
      <c r="E23" s="13" t="s">
        <v>220</v>
      </c>
      <c r="F23" t="s">
        <v>219</v>
      </c>
      <c r="G23" s="13" t="s">
        <v>221</v>
      </c>
    </row>
    <row r="24" spans="5:13" x14ac:dyDescent="0.3">
      <c r="K24" s="13">
        <v>250</v>
      </c>
      <c r="L24" t="s">
        <v>224</v>
      </c>
    </row>
    <row r="26" spans="5:13" x14ac:dyDescent="0.3">
      <c r="G26" s="13" t="s">
        <v>222</v>
      </c>
    </row>
    <row r="27" spans="5:13" x14ac:dyDescent="0.3">
      <c r="K27" t="s">
        <v>225</v>
      </c>
      <c r="M27"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103B-28D2-4851-8380-B72C10AF38CB}">
  <dimension ref="D3:K25"/>
  <sheetViews>
    <sheetView tabSelected="1" topLeftCell="A4" zoomScale="130" zoomScaleNormal="130" workbookViewId="0">
      <selection activeCell="I17" sqref="I17"/>
    </sheetView>
  </sheetViews>
  <sheetFormatPr defaultRowHeight="14.4" x14ac:dyDescent="0.3"/>
  <cols>
    <col min="5" max="5" width="11.88671875" bestFit="1" customWidth="1"/>
  </cols>
  <sheetData>
    <row r="3" spans="4:10" x14ac:dyDescent="0.3">
      <c r="D3" s="2"/>
      <c r="E3" s="2"/>
      <c r="F3" s="2"/>
      <c r="G3" s="2"/>
    </row>
    <row r="4" spans="4:10" x14ac:dyDescent="0.3">
      <c r="D4" s="2"/>
      <c r="E4" s="2" t="s">
        <v>232</v>
      </c>
      <c r="F4" s="2"/>
      <c r="G4" t="s">
        <v>230</v>
      </c>
      <c r="I4" t="s">
        <v>231</v>
      </c>
    </row>
    <row r="5" spans="4:10" x14ac:dyDescent="0.3">
      <c r="D5" s="2"/>
      <c r="E5" s="2"/>
      <c r="F5" s="2"/>
    </row>
    <row r="6" spans="4:10" x14ac:dyDescent="0.3">
      <c r="D6" s="2"/>
      <c r="E6" s="2" t="s">
        <v>234</v>
      </c>
      <c r="F6" s="2"/>
      <c r="G6" t="s">
        <v>233</v>
      </c>
      <c r="J6" t="s">
        <v>243</v>
      </c>
    </row>
    <row r="7" spans="4:10" x14ac:dyDescent="0.3">
      <c r="D7" s="2"/>
      <c r="E7" s="2"/>
      <c r="F7" s="2"/>
    </row>
    <row r="8" spans="4:10" x14ac:dyDescent="0.3">
      <c r="D8" s="2"/>
      <c r="E8" s="2"/>
      <c r="F8" s="2"/>
    </row>
    <row r="9" spans="4:10" x14ac:dyDescent="0.3">
      <c r="D9" s="2"/>
      <c r="E9" s="2" t="s">
        <v>235</v>
      </c>
      <c r="F9" s="2"/>
    </row>
    <row r="10" spans="4:10" x14ac:dyDescent="0.3">
      <c r="D10" s="2"/>
      <c r="E10" s="2"/>
      <c r="F10" s="2"/>
    </row>
    <row r="11" spans="4:10" x14ac:dyDescent="0.3">
      <c r="D11" s="2"/>
      <c r="E11" s="2" t="s">
        <v>236</v>
      </c>
      <c r="F11" s="2">
        <v>1</v>
      </c>
    </row>
    <row r="12" spans="4:10" x14ac:dyDescent="0.3">
      <c r="D12" s="2"/>
      <c r="E12" s="2" t="s">
        <v>228</v>
      </c>
      <c r="F12" s="2">
        <v>1</v>
      </c>
    </row>
    <row r="13" spans="4:10" x14ac:dyDescent="0.3">
      <c r="D13" s="2"/>
      <c r="E13" s="2" t="s">
        <v>229</v>
      </c>
      <c r="F13" s="2">
        <v>2</v>
      </c>
    </row>
    <row r="14" spans="4:10" x14ac:dyDescent="0.3">
      <c r="D14" s="2"/>
      <c r="E14" s="2"/>
      <c r="F14" s="2"/>
    </row>
    <row r="15" spans="4:10" x14ac:dyDescent="0.3">
      <c r="D15" s="2"/>
      <c r="E15" s="2" t="s">
        <v>237</v>
      </c>
      <c r="F15" s="2"/>
    </row>
    <row r="16" spans="4:10" x14ac:dyDescent="0.3">
      <c r="D16" s="2"/>
      <c r="E16" s="2"/>
      <c r="F16" s="2" t="s">
        <v>240</v>
      </c>
      <c r="G16" t="s">
        <v>241</v>
      </c>
      <c r="H16" t="s">
        <v>242</v>
      </c>
      <c r="I16" s="2" t="s">
        <v>250</v>
      </c>
    </row>
    <row r="17" spans="4:11" x14ac:dyDescent="0.3">
      <c r="D17" s="2"/>
      <c r="E17" s="2" t="s">
        <v>238</v>
      </c>
      <c r="F17" s="2">
        <v>1</v>
      </c>
      <c r="G17">
        <v>1</v>
      </c>
      <c r="H17">
        <v>2</v>
      </c>
    </row>
    <row r="18" spans="4:11" x14ac:dyDescent="0.3">
      <c r="D18" s="2"/>
      <c r="E18" s="2" t="s">
        <v>152</v>
      </c>
      <c r="F18" s="2">
        <v>0</v>
      </c>
      <c r="G18">
        <v>0</v>
      </c>
      <c r="H18">
        <v>0</v>
      </c>
    </row>
    <row r="19" spans="4:11" x14ac:dyDescent="0.3">
      <c r="D19" s="2"/>
      <c r="E19" s="2" t="s">
        <v>239</v>
      </c>
      <c r="F19" s="2">
        <v>2</v>
      </c>
      <c r="G19">
        <v>2</v>
      </c>
      <c r="H19">
        <v>2</v>
      </c>
    </row>
    <row r="20" spans="4:11" x14ac:dyDescent="0.3">
      <c r="D20" s="2"/>
      <c r="E20" s="2"/>
      <c r="F20" s="2"/>
    </row>
    <row r="21" spans="4:11" x14ac:dyDescent="0.3">
      <c r="E21" s="2" t="s">
        <v>244</v>
      </c>
      <c r="G21" t="s">
        <v>245</v>
      </c>
      <c r="I21" t="s">
        <v>246</v>
      </c>
    </row>
    <row r="23" spans="4:11" x14ac:dyDescent="0.3">
      <c r="E23" t="s">
        <v>247</v>
      </c>
      <c r="F23" t="s">
        <v>248</v>
      </c>
      <c r="K23" t="s">
        <v>249</v>
      </c>
    </row>
    <row r="25" spans="4:11" x14ac:dyDescent="0.3">
      <c r="F25">
        <v>0.5</v>
      </c>
      <c r="G25">
        <v>0.3</v>
      </c>
      <c r="H25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DAY 1 - 1</vt:lpstr>
      <vt:lpstr>DAY 2 - 1</vt:lpstr>
      <vt:lpstr>REG OUTPUT</vt:lpstr>
      <vt:lpstr>DAY 2 - 2</vt:lpstr>
      <vt:lpstr>DAY 3 - 1</vt:lpstr>
      <vt:lpstr>DAY 4 - 1</vt:lpstr>
      <vt:lpstr>DAY 5 -1</vt:lpstr>
      <vt:lpstr>DAY 5 - 2</vt:lpstr>
      <vt:lpstr>DAY 6 - 1</vt:lpstr>
      <vt:lpstr>DAY 7 - 1</vt:lpstr>
      <vt:lpstr>DAY 7 -2</vt:lpstr>
      <vt:lpstr>DAY 9 - 1</vt:lpstr>
      <vt:lpstr>DAY 10 - 1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Manjunatha G</dc:creator>
  <cp:lastModifiedBy>Manjunatha G</cp:lastModifiedBy>
  <dcterms:created xsi:type="dcterms:W3CDTF">2023-07-29T13:09:29Z</dcterms:created>
  <dcterms:modified xsi:type="dcterms:W3CDTF">2025-12-14T07:12:01Z</dcterms:modified>
</cp:coreProperties>
</file>