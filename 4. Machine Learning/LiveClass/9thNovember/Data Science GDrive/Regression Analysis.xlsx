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oogle Drive\Semester 1\QM - Quantitative Methods\Descriptive Stats &amp; Regression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H5" i="1"/>
  <c r="H6" i="1"/>
  <c r="H7" i="1"/>
  <c r="H8" i="1"/>
  <c r="H9" i="1"/>
  <c r="H10" i="1"/>
  <c r="H11" i="1"/>
  <c r="H12" i="1"/>
  <c r="H13" i="1"/>
  <c r="H14" i="1"/>
  <c r="H15" i="1"/>
  <c r="H4" i="1"/>
  <c r="D16" i="1"/>
  <c r="B16" i="1"/>
  <c r="F5" i="1"/>
  <c r="F6" i="1"/>
  <c r="F7" i="1"/>
  <c r="F8" i="1"/>
  <c r="F9" i="1"/>
  <c r="F10" i="1"/>
  <c r="F11" i="1"/>
  <c r="F12" i="1"/>
  <c r="F13" i="1"/>
  <c r="F14" i="1"/>
  <c r="F15" i="1"/>
  <c r="F4" i="1"/>
  <c r="F16" i="1" l="1"/>
  <c r="B20" i="1" s="1"/>
  <c r="H16" i="1"/>
  <c r="B19" i="1" s="1"/>
  <c r="B21" i="1" l="1"/>
  <c r="B22" i="1" s="1"/>
  <c r="J6" i="1"/>
  <c r="L6" i="1" s="1"/>
  <c r="J8" i="1"/>
  <c r="L8" i="1" s="1"/>
  <c r="J10" i="1"/>
  <c r="L10" i="1" s="1"/>
  <c r="J12" i="1"/>
  <c r="L12" i="1" s="1"/>
  <c r="J14" i="1"/>
  <c r="L14" i="1" s="1"/>
  <c r="J4" i="1"/>
  <c r="L4" i="1" s="1"/>
  <c r="J5" i="1"/>
  <c r="L5" i="1" s="1"/>
  <c r="J7" i="1"/>
  <c r="L7" i="1" s="1"/>
  <c r="J9" i="1"/>
  <c r="L9" i="1" s="1"/>
  <c r="J11" i="1"/>
  <c r="L11" i="1" s="1"/>
  <c r="J13" i="1"/>
  <c r="L13" i="1" s="1"/>
  <c r="J15" i="1"/>
  <c r="L15" i="1" s="1"/>
</calcChain>
</file>

<file path=xl/sharedStrings.xml><?xml version="1.0" encoding="utf-8"?>
<sst xmlns="http://schemas.openxmlformats.org/spreadsheetml/2006/main" count="25" uniqueCount="25">
  <si>
    <t>Example for Solving for the Slope and the y-intercept of the Regression Line for the Airline Cost</t>
  </si>
  <si>
    <t>No. of Passengers</t>
  </si>
  <si>
    <t>Cost ($1,000)</t>
  </si>
  <si>
    <t>x</t>
  </si>
  <si>
    <t>y</t>
  </si>
  <si>
    <t>xy</t>
  </si>
  <si>
    <r>
      <rPr>
        <sz val="11"/>
        <color theme="1"/>
        <rFont val="MS Reference Sans Serif"/>
        <family val="2"/>
      </rPr>
      <t>∑</t>
    </r>
    <r>
      <rPr>
        <sz val="11"/>
        <color theme="1"/>
        <rFont val="Calibri"/>
        <family val="2"/>
      </rPr>
      <t>x =</t>
    </r>
  </si>
  <si>
    <r>
      <rPr>
        <sz val="11"/>
        <color theme="1"/>
        <rFont val="MS Reference Sans Serif"/>
        <family val="2"/>
      </rPr>
      <t>∑</t>
    </r>
    <r>
      <rPr>
        <sz val="11"/>
        <color theme="1"/>
        <rFont val="Calibri"/>
        <family val="2"/>
      </rPr>
      <t>y =</t>
    </r>
  </si>
  <si>
    <r>
      <rPr>
        <sz val="11"/>
        <color theme="1"/>
        <rFont val="MS Reference Sans Serif"/>
        <family val="2"/>
      </rPr>
      <t>∑</t>
    </r>
    <r>
      <rPr>
        <sz val="11"/>
        <color theme="1"/>
        <rFont val="Calibri"/>
        <family val="2"/>
      </rPr>
      <t>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=</t>
    </r>
  </si>
  <si>
    <r>
      <rPr>
        <sz val="11"/>
        <color theme="1"/>
        <rFont val="MS Reference Sans Serif"/>
        <family val="2"/>
      </rPr>
      <t>∑</t>
    </r>
    <r>
      <rPr>
        <sz val="11"/>
        <color theme="1"/>
        <rFont val="Calibri"/>
        <family val="2"/>
      </rPr>
      <t>xy =</t>
    </r>
  </si>
  <si>
    <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</si>
  <si>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</si>
  <si>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SS</t>
    </r>
    <r>
      <rPr>
        <vertAlign val="subscript"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 xml:space="preserve"> =</t>
    </r>
  </si>
  <si>
    <r>
      <t>SS</t>
    </r>
    <r>
      <rPr>
        <vertAlign val="subscript"/>
        <sz val="11"/>
        <color theme="1"/>
        <rFont val="Calibri"/>
        <family val="2"/>
        <scheme val="minor"/>
      </rPr>
      <t>xx</t>
    </r>
    <r>
      <rPr>
        <sz val="11"/>
        <color theme="1"/>
        <rFont val="Calibri"/>
        <family val="2"/>
        <scheme val="minor"/>
      </rPr>
      <t xml:space="preserve"> =</t>
    </r>
  </si>
  <si>
    <r>
      <t>ŷ</t>
    </r>
    <r>
      <rPr>
        <sz val="11"/>
        <color theme="1"/>
        <rFont val="Calibri"/>
        <family val="2"/>
        <scheme val="minor"/>
      </rPr>
      <t xml:space="preserve"> =</t>
    </r>
  </si>
  <si>
    <t>Predicted Value</t>
  </si>
  <si>
    <t>Residual</t>
  </si>
  <si>
    <r>
      <t>x</t>
    </r>
    <r>
      <rPr>
        <b/>
        <vertAlign val="superscript"/>
        <sz val="13"/>
        <color theme="1"/>
        <rFont val="Calibri"/>
        <family val="2"/>
        <scheme val="minor"/>
      </rPr>
      <t>2</t>
    </r>
  </si>
  <si>
    <r>
      <t>ŷ</t>
    </r>
    <r>
      <rPr>
        <b/>
        <sz val="13"/>
        <color theme="1"/>
        <rFont val="Calibri"/>
        <family val="2"/>
        <scheme val="minor"/>
      </rPr>
      <t xml:space="preserve"> </t>
    </r>
  </si>
  <si>
    <r>
      <t>y - ŷ</t>
    </r>
    <r>
      <rPr>
        <b/>
        <sz val="13"/>
        <color theme="1"/>
        <rFont val="Calibri"/>
        <family val="2"/>
        <scheme val="minor"/>
      </rPr>
      <t xml:space="preserve"> </t>
    </r>
  </si>
  <si>
    <t>Regression Equation</t>
  </si>
  <si>
    <t>Equation of the Simple Regression Line</t>
  </si>
  <si>
    <t>Where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</si>
  <si>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the sample intercept</t>
    </r>
  </si>
  <si>
    <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the sample slope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</si>
</sst>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MS Reference Sans Serif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MS Reference Sans Serif"/>
      <family val="2"/>
    </font>
    <font>
      <b/>
      <sz val="11"/>
      <color theme="4" tint="-0.499984740745262"/>
      <name val="Calibri"/>
      <family val="2"/>
      <scheme val="minor"/>
    </font>
    <font>
      <b/>
      <sz val="9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indent="2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Sheet1!$B$4:$B$15</c:f>
              <c:numCache>
                <c:formatCode>General</c:formatCode>
                <c:ptCount val="12"/>
                <c:pt idx="0">
                  <c:v>61</c:v>
                </c:pt>
                <c:pt idx="1">
                  <c:v>63</c:v>
                </c:pt>
                <c:pt idx="2">
                  <c:v>67</c:v>
                </c:pt>
                <c:pt idx="3">
                  <c:v>69</c:v>
                </c:pt>
                <c:pt idx="4">
                  <c:v>70</c:v>
                </c:pt>
                <c:pt idx="5">
                  <c:v>74</c:v>
                </c:pt>
                <c:pt idx="6">
                  <c:v>76</c:v>
                </c:pt>
                <c:pt idx="7">
                  <c:v>81</c:v>
                </c:pt>
                <c:pt idx="8">
                  <c:v>86</c:v>
                </c:pt>
                <c:pt idx="9">
                  <c:v>91</c:v>
                </c:pt>
                <c:pt idx="10">
                  <c:v>95</c:v>
                </c:pt>
                <c:pt idx="11">
                  <c:v>97</c:v>
                </c:pt>
              </c:numCache>
            </c:numRef>
          </c:cat>
          <c:val>
            <c:numRef>
              <c:f>Sheet1!$D$4:$D$15</c:f>
              <c:numCache>
                <c:formatCode>0.000</c:formatCode>
                <c:ptCount val="12"/>
                <c:pt idx="0">
                  <c:v>4.28</c:v>
                </c:pt>
                <c:pt idx="1">
                  <c:v>4.08</c:v>
                </c:pt>
                <c:pt idx="2">
                  <c:v>4.42</c:v>
                </c:pt>
                <c:pt idx="3">
                  <c:v>4.17</c:v>
                </c:pt>
                <c:pt idx="4">
                  <c:v>4.4800000000000004</c:v>
                </c:pt>
                <c:pt idx="5">
                  <c:v>4.3</c:v>
                </c:pt>
                <c:pt idx="6">
                  <c:v>4.82</c:v>
                </c:pt>
                <c:pt idx="7">
                  <c:v>4.7</c:v>
                </c:pt>
                <c:pt idx="8">
                  <c:v>5.1100000000000003</c:v>
                </c:pt>
                <c:pt idx="9">
                  <c:v>5.13</c:v>
                </c:pt>
                <c:pt idx="10">
                  <c:v>5.64</c:v>
                </c:pt>
                <c:pt idx="11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D-44FD-A2D5-84F56AD7DFEA}"/>
            </c:ext>
          </c:extLst>
        </c:ser>
        <c:ser>
          <c:idx val="1"/>
          <c:order val="1"/>
          <c:tx>
            <c:v>Y-Hat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Sheet1!$B$4:$B$15</c:f>
              <c:numCache>
                <c:formatCode>General</c:formatCode>
                <c:ptCount val="12"/>
                <c:pt idx="0">
                  <c:v>61</c:v>
                </c:pt>
                <c:pt idx="1">
                  <c:v>63</c:v>
                </c:pt>
                <c:pt idx="2">
                  <c:v>67</c:v>
                </c:pt>
                <c:pt idx="3">
                  <c:v>69</c:v>
                </c:pt>
                <c:pt idx="4">
                  <c:v>70</c:v>
                </c:pt>
                <c:pt idx="5">
                  <c:v>74</c:v>
                </c:pt>
                <c:pt idx="6">
                  <c:v>76</c:v>
                </c:pt>
                <c:pt idx="7">
                  <c:v>81</c:v>
                </c:pt>
                <c:pt idx="8">
                  <c:v>86</c:v>
                </c:pt>
                <c:pt idx="9">
                  <c:v>91</c:v>
                </c:pt>
                <c:pt idx="10">
                  <c:v>95</c:v>
                </c:pt>
                <c:pt idx="11">
                  <c:v>97</c:v>
                </c:pt>
              </c:numCache>
            </c:numRef>
          </c:cat>
          <c:val>
            <c:numRef>
              <c:f>Sheet1!$J$4:$J$15</c:f>
              <c:numCache>
                <c:formatCode>0.000</c:formatCode>
                <c:ptCount val="12"/>
                <c:pt idx="0">
                  <c:v>4.0525902901125033</c:v>
                </c:pt>
                <c:pt idx="1">
                  <c:v>4.1339934872705832</c:v>
                </c:pt>
                <c:pt idx="2">
                  <c:v>4.296799881586745</c:v>
                </c:pt>
                <c:pt idx="3">
                  <c:v>4.3782030787448249</c:v>
                </c:pt>
                <c:pt idx="4">
                  <c:v>4.4189046773238658</c:v>
                </c:pt>
                <c:pt idx="5">
                  <c:v>4.5817110716400258</c:v>
                </c:pt>
                <c:pt idx="6">
                  <c:v>4.6631142687981066</c:v>
                </c:pt>
                <c:pt idx="7">
                  <c:v>4.8666222616933084</c:v>
                </c:pt>
                <c:pt idx="8">
                  <c:v>5.0701302545885092</c:v>
                </c:pt>
                <c:pt idx="9">
                  <c:v>5.27363824748371</c:v>
                </c:pt>
                <c:pt idx="10">
                  <c:v>5.4364446417998717</c:v>
                </c:pt>
                <c:pt idx="11">
                  <c:v>5.5178478389579517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D-44FD-A2D5-84F56AD7D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926496"/>
        <c:axId val="415930240"/>
      </c:lineChart>
      <c:catAx>
        <c:axId val="41592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Passengers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30240"/>
        <c:crosses val="autoZero"/>
        <c:auto val="1"/>
        <c:lblAlgn val="ctr"/>
        <c:lblOffset val="100"/>
        <c:noMultiLvlLbl val="0"/>
      </c:catAx>
      <c:valAx>
        <c:axId val="4159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($1,000)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2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438149</xdr:colOff>
      <xdr:row>16</xdr:row>
      <xdr:rowOff>57150</xdr:rowOff>
    </xdr:from>
    <xdr:to>
      <xdr:col>12</xdr:col>
      <xdr:colOff>390525</xdr:colOff>
      <xdr:row>29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19050</xdr:colOff>
      <xdr:row>3</xdr:row>
      <xdr:rowOff>9525</xdr:rowOff>
    </xdr:from>
    <xdr:ext cx="1809750" cy="323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8629650" y="1085850"/>
              <a:ext cx="1809750" cy="323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8629650" y="1085850"/>
              <a:ext cx="1809750" cy="323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 ̂=</a:t>
              </a:r>
              <a:r>
                <a:rPr lang="en-US" sz="1100" i="0">
                  <a:latin typeface="Cambria Math" panose="02040503050406030204" pitchFamily="18" charset="0"/>
                </a:rPr>
                <a:t>𝑏_0+𝑏_1 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7</xdr:row>
      <xdr:rowOff>219075</xdr:rowOff>
    </xdr:from>
    <xdr:ext cx="3286125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8515349" y="2095500"/>
              <a:ext cx="3286125" cy="695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 − 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</m:acc>
                              </m:e>
                            </m: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 − 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</m:acc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) (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</m:nary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</m:nary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nary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nary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</m:nary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8515349" y="2095500"/>
              <a:ext cx="3286125" cy="695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𝑏_1=  (∑▒〖(𝑥 − 𝑥 ̅ )(𝑦 − 𝑦 ̅)〗)/(∑▒〖(𝑥 − 𝑥 ̅)〗^2 )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 (∑▒〖𝑥𝑦 − ((∑▒〖𝑥) (∑▒𝑦)〗)/𝑛〗)/(∑▒𝑥^2  − 〖(∑▒〖𝑥)〗〗^2/𝑛)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11</xdr:row>
      <xdr:rowOff>161926</xdr:rowOff>
    </xdr:from>
    <xdr:ext cx="2228849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8582025" y="2838451"/>
              <a:ext cx="2228849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</m:nary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</m:nary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8582025" y="2838451"/>
              <a:ext cx="2228849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𝑏_0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𝑦 ̅ </a:t>
              </a:r>
              <a:r>
                <a:rPr lang="en-US" sz="1100" b="0" i="0">
                  <a:latin typeface="Cambria Math" panose="02040503050406030204" pitchFamily="18" charset="0"/>
                </a:rPr>
                <a:t> − 𝑏_1 𝑥 ̅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=(∑▒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𝑦)/𝑛−𝑏_1  ((∑▒𝑥))/𝑛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104775</xdr:colOff>
      <xdr:row>14</xdr:row>
      <xdr:rowOff>95250</xdr:rowOff>
    </xdr:from>
    <xdr:ext cx="3194401" cy="4169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8715375" y="3343275"/>
              <a:ext cx="3194401" cy="416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 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</m:nary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nary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nary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8715375" y="3343275"/>
              <a:ext cx="3194401" cy="416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𝑆𝑆〗_𝑥𝑦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∑▒〖(𝑥 − 𝑥 ̅ )(</a:t>
              </a:r>
              <a:r>
                <a:rPr lang="en-US" sz="1100" b="0" i="0">
                  <a:latin typeface="Cambria Math" panose="02040503050406030204" pitchFamily="18" charset="0"/>
                </a:rPr>
                <a:t>𝑦 − 𝑦 ̅ 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∑▒〖𝑥𝑦 − ((∑▒〖𝑥)〗(∑▒𝑦))/𝑛〗〗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95250</xdr:colOff>
      <xdr:row>17</xdr:row>
      <xdr:rowOff>57150</xdr:rowOff>
    </xdr:from>
    <xdr:ext cx="2432525" cy="4390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8705850" y="3905250"/>
              <a:ext cx="2432525" cy="4390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𝑥𝑥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 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 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)</m:t>
                                        </m:r>
                                      </m:e>
                                      <m:sup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nary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nary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8705850" y="3905250"/>
              <a:ext cx="2432525" cy="4390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𝑆𝑆〗_𝑥𝑥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∑▒〖〖(𝑥 − 𝑥 ̅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〗^2= ∑▒〖𝑥^2− ((∑▒〖𝑥)〗^2 )/𝑛〗〗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GridLines="0" tabSelected="1" workbookViewId="0">
      <selection activeCell="S6" sqref="S6"/>
    </sheetView>
  </sheetViews>
  <sheetFormatPr defaultRowHeight="15" x14ac:dyDescent="0.25"/>
  <cols>
    <col min="1" max="1" width="7" customWidth="1"/>
    <col min="2" max="2" width="9.7109375" customWidth="1"/>
    <col min="3" max="3" width="6.28515625" customWidth="1"/>
    <col min="4" max="4" width="9.7109375" customWidth="1"/>
    <col min="5" max="5" width="6.28515625" customWidth="1"/>
    <col min="6" max="6" width="9.7109375" customWidth="1"/>
    <col min="7" max="7" width="6.28515625" customWidth="1"/>
    <col min="8" max="8" width="9.7109375" customWidth="1"/>
    <col min="9" max="9" width="6.28515625" customWidth="1"/>
    <col min="10" max="10" width="9.7109375" customWidth="1"/>
    <col min="11" max="11" width="6.28515625" customWidth="1"/>
    <col min="12" max="12" width="9.7109375" customWidth="1"/>
    <col min="14" max="14" width="19.28515625" bestFit="1" customWidth="1"/>
  </cols>
  <sheetData>
    <row r="1" spans="1:14" x14ac:dyDescent="0.25">
      <c r="A1" s="17" t="s">
        <v>0</v>
      </c>
      <c r="M1" s="18"/>
    </row>
    <row r="2" spans="1:14" ht="27" thickBot="1" x14ac:dyDescent="0.3">
      <c r="B2" s="11" t="s">
        <v>1</v>
      </c>
      <c r="C2" s="11"/>
      <c r="D2" s="11" t="s">
        <v>2</v>
      </c>
      <c r="E2" s="12"/>
      <c r="F2" s="13"/>
      <c r="G2" s="13"/>
      <c r="H2" s="13"/>
      <c r="I2" s="13"/>
      <c r="J2" s="11" t="s">
        <v>15</v>
      </c>
      <c r="K2" s="11"/>
      <c r="L2" s="11" t="s">
        <v>16</v>
      </c>
      <c r="N2" s="11" t="s">
        <v>20</v>
      </c>
    </row>
    <row r="3" spans="1:14" ht="19.5" customHeight="1" x14ac:dyDescent="0.3">
      <c r="B3" s="14" t="s">
        <v>3</v>
      </c>
      <c r="C3" s="14"/>
      <c r="D3" s="14" t="s">
        <v>4</v>
      </c>
      <c r="E3" s="14"/>
      <c r="F3" s="14" t="s">
        <v>17</v>
      </c>
      <c r="G3" s="14"/>
      <c r="H3" s="14" t="s">
        <v>5</v>
      </c>
      <c r="I3" s="15"/>
      <c r="J3" s="16" t="s">
        <v>18</v>
      </c>
      <c r="K3" s="15"/>
      <c r="L3" s="16" t="s">
        <v>19</v>
      </c>
      <c r="N3" t="s">
        <v>21</v>
      </c>
    </row>
    <row r="4" spans="1:14" x14ac:dyDescent="0.25">
      <c r="B4">
        <v>61</v>
      </c>
      <c r="D4" s="3">
        <v>4.28</v>
      </c>
      <c r="E4" s="3"/>
      <c r="F4">
        <f>B4^2</f>
        <v>3721</v>
      </c>
      <c r="H4">
        <f>B4*D4</f>
        <v>261.08000000000004</v>
      </c>
      <c r="J4" s="2">
        <f>$B$22+$B$21*$B4</f>
        <v>4.0525902901125033</v>
      </c>
      <c r="L4" s="2">
        <f>D4-J4</f>
        <v>0.22740970988749698</v>
      </c>
    </row>
    <row r="5" spans="1:14" x14ac:dyDescent="0.25">
      <c r="B5">
        <v>63</v>
      </c>
      <c r="D5" s="3">
        <v>4.08</v>
      </c>
      <c r="E5" s="3"/>
      <c r="F5">
        <f t="shared" ref="F5:F15" si="0">B5^2</f>
        <v>3969</v>
      </c>
      <c r="H5">
        <f t="shared" ref="H5:H15" si="1">B5*D5</f>
        <v>257.04000000000002</v>
      </c>
      <c r="J5" s="2">
        <f t="shared" ref="J5:J15" si="2">$B$22+$B$21*$B5</f>
        <v>4.1339934872705832</v>
      </c>
      <c r="L5" s="2">
        <f t="shared" ref="L5:L15" si="3">D5-J5</f>
        <v>-5.3993487270583174E-2</v>
      </c>
    </row>
    <row r="6" spans="1:14" x14ac:dyDescent="0.25">
      <c r="B6">
        <v>67</v>
      </c>
      <c r="D6" s="3">
        <v>4.42</v>
      </c>
      <c r="E6" s="3"/>
      <c r="F6">
        <f t="shared" si="0"/>
        <v>4489</v>
      </c>
      <c r="H6">
        <f t="shared" si="1"/>
        <v>296.14</v>
      </c>
      <c r="J6" s="2">
        <f t="shared" si="2"/>
        <v>4.296799881586745</v>
      </c>
      <c r="L6" s="2">
        <f t="shared" si="3"/>
        <v>0.12320011841325496</v>
      </c>
      <c r="N6" t="s">
        <v>22</v>
      </c>
    </row>
    <row r="7" spans="1:14" ht="18" x14ac:dyDescent="0.35">
      <c r="B7">
        <v>69</v>
      </c>
      <c r="D7" s="3">
        <v>4.17</v>
      </c>
      <c r="E7" s="3"/>
      <c r="F7">
        <f t="shared" si="0"/>
        <v>4761</v>
      </c>
      <c r="H7">
        <f t="shared" si="1"/>
        <v>287.73</v>
      </c>
      <c r="J7" s="2">
        <f t="shared" si="2"/>
        <v>4.3782030787448249</v>
      </c>
      <c r="L7" s="2">
        <f t="shared" si="3"/>
        <v>-0.20820307874482502</v>
      </c>
      <c r="N7" s="1" t="s">
        <v>23</v>
      </c>
    </row>
    <row r="8" spans="1:14" ht="18" x14ac:dyDescent="0.35">
      <c r="B8">
        <v>70</v>
      </c>
      <c r="D8" s="3">
        <v>4.4800000000000004</v>
      </c>
      <c r="E8" s="3"/>
      <c r="F8">
        <f t="shared" si="0"/>
        <v>4900</v>
      </c>
      <c r="H8">
        <f t="shared" si="1"/>
        <v>313.60000000000002</v>
      </c>
      <c r="J8" s="2">
        <f t="shared" si="2"/>
        <v>4.4189046773238658</v>
      </c>
      <c r="L8" s="2">
        <f t="shared" si="3"/>
        <v>6.10953226761346E-2</v>
      </c>
      <c r="N8" s="1" t="s">
        <v>24</v>
      </c>
    </row>
    <row r="9" spans="1:14" x14ac:dyDescent="0.25">
      <c r="B9">
        <v>74</v>
      </c>
      <c r="D9" s="3">
        <v>4.3</v>
      </c>
      <c r="E9" s="3"/>
      <c r="F9">
        <f t="shared" si="0"/>
        <v>5476</v>
      </c>
      <c r="H9">
        <f t="shared" si="1"/>
        <v>318.2</v>
      </c>
      <c r="J9" s="2">
        <f t="shared" si="2"/>
        <v>4.5817110716400258</v>
      </c>
      <c r="L9" s="2">
        <f t="shared" si="3"/>
        <v>-0.28171107164002596</v>
      </c>
    </row>
    <row r="10" spans="1:14" x14ac:dyDescent="0.25">
      <c r="B10">
        <v>76</v>
      </c>
      <c r="D10" s="3">
        <v>4.82</v>
      </c>
      <c r="E10" s="3"/>
      <c r="F10">
        <f t="shared" si="0"/>
        <v>5776</v>
      </c>
      <c r="H10">
        <f t="shared" si="1"/>
        <v>366.32000000000005</v>
      </c>
      <c r="J10" s="2">
        <f t="shared" si="2"/>
        <v>4.6631142687981066</v>
      </c>
      <c r="L10" s="2">
        <f t="shared" si="3"/>
        <v>0.15688573120189364</v>
      </c>
    </row>
    <row r="11" spans="1:14" x14ac:dyDescent="0.25">
      <c r="B11">
        <v>81</v>
      </c>
      <c r="D11" s="3">
        <v>4.7</v>
      </c>
      <c r="E11" s="3"/>
      <c r="F11">
        <f t="shared" si="0"/>
        <v>6561</v>
      </c>
      <c r="H11">
        <f t="shared" si="1"/>
        <v>380.7</v>
      </c>
      <c r="J11" s="2">
        <f t="shared" si="2"/>
        <v>4.8666222616933084</v>
      </c>
      <c r="L11" s="2">
        <f t="shared" si="3"/>
        <v>-0.16662226169330818</v>
      </c>
    </row>
    <row r="12" spans="1:14" x14ac:dyDescent="0.25">
      <c r="B12">
        <v>86</v>
      </c>
      <c r="D12" s="3">
        <v>5.1100000000000003</v>
      </c>
      <c r="E12" s="3"/>
      <c r="F12">
        <f t="shared" si="0"/>
        <v>7396</v>
      </c>
      <c r="H12">
        <f t="shared" si="1"/>
        <v>439.46000000000004</v>
      </c>
      <c r="J12" s="2">
        <f t="shared" si="2"/>
        <v>5.0701302545885092</v>
      </c>
      <c r="L12" s="2">
        <f t="shared" si="3"/>
        <v>3.9869745411491131E-2</v>
      </c>
    </row>
    <row r="13" spans="1:14" x14ac:dyDescent="0.25">
      <c r="B13">
        <v>91</v>
      </c>
      <c r="D13" s="3">
        <v>5.13</v>
      </c>
      <c r="E13" s="3"/>
      <c r="F13">
        <f t="shared" si="0"/>
        <v>8281</v>
      </c>
      <c r="H13">
        <f t="shared" si="1"/>
        <v>466.83</v>
      </c>
      <c r="J13" s="2">
        <f t="shared" si="2"/>
        <v>5.27363824748371</v>
      </c>
      <c r="L13" s="2">
        <f t="shared" si="3"/>
        <v>-0.14363824748371012</v>
      </c>
    </row>
    <row r="14" spans="1:14" x14ac:dyDescent="0.25">
      <c r="B14">
        <v>95</v>
      </c>
      <c r="D14" s="3">
        <v>5.64</v>
      </c>
      <c r="E14" s="3"/>
      <c r="F14">
        <f t="shared" si="0"/>
        <v>9025</v>
      </c>
      <c r="H14">
        <f t="shared" si="1"/>
        <v>535.79999999999995</v>
      </c>
      <c r="J14" s="2">
        <f t="shared" si="2"/>
        <v>5.4364446417998717</v>
      </c>
      <c r="L14" s="2">
        <f t="shared" si="3"/>
        <v>0.20355535820012793</v>
      </c>
    </row>
    <row r="15" spans="1:14" x14ac:dyDescent="0.25">
      <c r="B15">
        <v>97</v>
      </c>
      <c r="D15" s="3">
        <v>5.56</v>
      </c>
      <c r="E15" s="3"/>
      <c r="F15">
        <f t="shared" si="0"/>
        <v>9409</v>
      </c>
      <c r="H15">
        <f t="shared" si="1"/>
        <v>539.31999999999994</v>
      </c>
      <c r="J15" s="2">
        <f t="shared" si="2"/>
        <v>5.5178478389579517</v>
      </c>
      <c r="L15" s="2">
        <f t="shared" si="3"/>
        <v>4.2152161042047886E-2</v>
      </c>
    </row>
    <row r="16" spans="1:14" ht="17.25" x14ac:dyDescent="0.25">
      <c r="A16" s="4" t="s">
        <v>6</v>
      </c>
      <c r="B16" s="5">
        <f>SUM(B4:B15)</f>
        <v>930</v>
      </c>
      <c r="C16" s="4" t="s">
        <v>7</v>
      </c>
      <c r="D16" s="6">
        <f>SUM(D4:D15)</f>
        <v>56.690000000000005</v>
      </c>
      <c r="E16" s="4" t="s">
        <v>8</v>
      </c>
      <c r="F16" s="5">
        <f>SUM(F4:F15)</f>
        <v>73764</v>
      </c>
      <c r="G16" s="4" t="s">
        <v>9</v>
      </c>
      <c r="H16" s="5">
        <f>SUM(H4:H15)</f>
        <v>4462.2199999999993</v>
      </c>
      <c r="L16" s="2"/>
    </row>
    <row r="19" spans="1:3" ht="18" x14ac:dyDescent="0.35">
      <c r="A19" s="7" t="s">
        <v>12</v>
      </c>
      <c r="B19">
        <f>H16-((B16*D16)/COUNT($B$4:$B$15))</f>
        <v>68.744999999998981</v>
      </c>
    </row>
    <row r="20" spans="1:3" ht="18" x14ac:dyDescent="0.35">
      <c r="A20" s="7" t="s">
        <v>13</v>
      </c>
      <c r="B20">
        <f>F16-((B16)^2/COUNT($B$4:$B$15))</f>
        <v>1689</v>
      </c>
    </row>
    <row r="21" spans="1:3" ht="18" x14ac:dyDescent="0.35">
      <c r="A21" s="7" t="s">
        <v>10</v>
      </c>
      <c r="B21" s="9">
        <f>B19/B20</f>
        <v>4.0701598579040252E-2</v>
      </c>
      <c r="C21">
        <v>4.07E-2</v>
      </c>
    </row>
    <row r="22" spans="1:3" ht="18" x14ac:dyDescent="0.35">
      <c r="A22" s="7" t="s">
        <v>11</v>
      </c>
      <c r="B22" s="10">
        <f>($D$16/COUNT($D$4:$D$15))-B21*($B$16/COUNT($B$4:$B$15))</f>
        <v>1.5697927767910476</v>
      </c>
      <c r="C22">
        <v>1.57</v>
      </c>
    </row>
    <row r="23" spans="1:3" x14ac:dyDescent="0.25">
      <c r="A23" s="8" t="s">
        <v>14</v>
      </c>
      <c r="B23" t="str">
        <f>C22&amp;" + "&amp;C21&amp;"x"</f>
        <v>1.57 + 0.0407x</v>
      </c>
    </row>
    <row r="24" spans="1:3" x14ac:dyDescent="0.25">
      <c r="A2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Bahubali-Desktop</dc:creator>
  <cp:lastModifiedBy>Bahubali-Desktop</cp:lastModifiedBy>
  <dcterms:created xsi:type="dcterms:W3CDTF">2019-09-22T08:26:01Z</dcterms:created>
  <dcterms:modified xsi:type="dcterms:W3CDTF">2019-09-22T13:04:54Z</dcterms:modified>
</cp:coreProperties>
</file>