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man\IITK AIML - Machine Learning - NOV\Training\DAY_2_16_NOV_2025\"/>
    </mc:Choice>
  </mc:AlternateContent>
  <xr:revisionPtr revIDLastSave="0" documentId="13_ncr:1_{03C33899-68E6-434A-8CB6-5C66CE390485}" xr6:coauthVersionLast="47" xr6:coauthVersionMax="47" xr10:uidLastSave="{00000000-0000-0000-0000-000000000000}"/>
  <bookViews>
    <workbookView xWindow="0" yWindow="0" windowWidth="23040" windowHeight="12240" activeTab="3" xr2:uid="{ACBBB57E-6586-4C20-8717-15EF40F2AD08}"/>
  </bookViews>
  <sheets>
    <sheet name="DAY 1 - 1" sheetId="8" r:id="rId1"/>
    <sheet name="DAY 2 - 1" sheetId="9" r:id="rId2"/>
    <sheet name="REG OUTPUT" sheetId="13" r:id="rId3"/>
    <sheet name="DAY 2 - 2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3" l="1"/>
  <c r="G9" i="10"/>
  <c r="G8" i="10"/>
  <c r="G3" i="10"/>
  <c r="G4" i="10"/>
  <c r="G5" i="10"/>
  <c r="G6" i="10"/>
  <c r="G7" i="10"/>
  <c r="G2" i="10"/>
  <c r="I9" i="10"/>
  <c r="F9" i="10"/>
  <c r="F3" i="10"/>
  <c r="F4" i="10"/>
  <c r="F5" i="10"/>
  <c r="F6" i="10"/>
  <c r="F7" i="10"/>
  <c r="F8" i="10"/>
  <c r="F11" i="10"/>
  <c r="F12" i="10"/>
  <c r="F2" i="10"/>
  <c r="E9" i="10"/>
  <c r="E3" i="10"/>
  <c r="E4" i="10"/>
  <c r="E5" i="10"/>
  <c r="E6" i="10"/>
  <c r="E7" i="10"/>
  <c r="E8" i="10"/>
  <c r="E2" i="10"/>
  <c r="C9" i="10"/>
  <c r="C7" i="13"/>
  <c r="E5" i="13"/>
  <c r="F21" i="13"/>
  <c r="C5" i="13"/>
  <c r="D3" i="10"/>
  <c r="D4" i="10"/>
  <c r="D5" i="10"/>
  <c r="D6" i="10"/>
  <c r="D7" i="10"/>
  <c r="D8" i="10"/>
  <c r="D2" i="10"/>
  <c r="C16" i="10" s="1"/>
  <c r="C11" i="10"/>
  <c r="C12" i="10" s="1"/>
  <c r="D12" i="10" s="1"/>
  <c r="A8" i="9" l="1"/>
  <c r="C5" i="9"/>
  <c r="E5" i="9" s="1"/>
  <c r="C4" i="9"/>
  <c r="E4" i="9" s="1"/>
  <c r="C3" i="9"/>
  <c r="E3" i="9" s="1"/>
  <c r="K26" i="8"/>
  <c r="K25" i="8"/>
  <c r="H26" i="8"/>
  <c r="H25" i="8"/>
  <c r="F26" i="8"/>
  <c r="F25" i="8"/>
  <c r="E8" i="9" l="1"/>
  <c r="E9" i="9" s="1"/>
  <c r="F9" i="9" s="1"/>
  <c r="E7" i="9"/>
  <c r="D3" i="9"/>
  <c r="F3" i="9" s="1"/>
  <c r="D5" i="9"/>
  <c r="F5" i="9" s="1"/>
  <c r="D4" i="9"/>
  <c r="F4" i="9" s="1"/>
  <c r="F10" i="9" l="1"/>
</calcChain>
</file>

<file path=xl/sharedStrings.xml><?xml version="1.0" encoding="utf-8"?>
<sst xmlns="http://schemas.openxmlformats.org/spreadsheetml/2006/main" count="131" uniqueCount="120">
  <si>
    <t>NAME</t>
  </si>
  <si>
    <t>ADDRESS</t>
  </si>
  <si>
    <t>AGE</t>
  </si>
  <si>
    <t>EXP</t>
  </si>
  <si>
    <t>THS</t>
  </si>
  <si>
    <t>CUR LOANS</t>
  </si>
  <si>
    <t>EMI</t>
  </si>
  <si>
    <t>DISP INC</t>
  </si>
  <si>
    <t>CS</t>
  </si>
  <si>
    <t>FLAG</t>
  </si>
  <si>
    <t>DEF</t>
  </si>
  <si>
    <t>ND</t>
  </si>
  <si>
    <t>DEF/NOT</t>
  </si>
  <si>
    <t>ELEPHANT</t>
  </si>
  <si>
    <t>CAT</t>
  </si>
  <si>
    <t>DOG</t>
  </si>
  <si>
    <t>TEMPR</t>
  </si>
  <si>
    <t>JERSEY NUMBER INFIAN CRICKET TEAM</t>
  </si>
  <si>
    <t>ZIP CODE</t>
  </si>
  <si>
    <t>LOC A</t>
  </si>
  <si>
    <t>LOCB</t>
  </si>
  <si>
    <t>LOC C</t>
  </si>
  <si>
    <t>Ht</t>
  </si>
  <si>
    <t>Wt</t>
  </si>
  <si>
    <t>X1</t>
  </si>
  <si>
    <t>X2</t>
  </si>
  <si>
    <t>COMPONENT OR A FACTOR</t>
  </si>
  <si>
    <t>PERSONALITY</t>
  </si>
  <si>
    <t>QUAL</t>
  </si>
  <si>
    <t>IQ</t>
  </si>
  <si>
    <t>MATURITY</t>
  </si>
  <si>
    <t>LIVE - STADIUM</t>
  </si>
  <si>
    <t>VIRAT KOHLY</t>
  </si>
  <si>
    <t>3D</t>
  </si>
  <si>
    <t>HT, WT, DEPTH</t>
  </si>
  <si>
    <t>LIVE ON TV</t>
  </si>
  <si>
    <t>HT, WT</t>
  </si>
  <si>
    <t>2D</t>
  </si>
  <si>
    <t>GROSS INCOME</t>
  </si>
  <si>
    <t>TAX</t>
  </si>
  <si>
    <t>TAKE HOME INCOME</t>
  </si>
  <si>
    <t>X3</t>
  </si>
  <si>
    <t>THI = GI - TAX</t>
  </si>
  <si>
    <t>TAX + THI = GI</t>
  </si>
  <si>
    <t>PRED SALES</t>
  </si>
  <si>
    <t>ACT SALES</t>
  </si>
  <si>
    <t>ERROR</t>
  </si>
  <si>
    <t>ABS(ERROR)</t>
  </si>
  <si>
    <t>SQ-ERROR</t>
  </si>
  <si>
    <t>MSE</t>
  </si>
  <si>
    <t>RMSE</t>
  </si>
  <si>
    <t>min(SSE)</t>
  </si>
  <si>
    <t>BEST FIT LINE</t>
  </si>
  <si>
    <t>ERROR AS A % OF ACT</t>
  </si>
  <si>
    <t>SSE/SSR</t>
  </si>
  <si>
    <t>MAPE</t>
  </si>
  <si>
    <t>SUM SQUARED ERROR OR RESIDUAL</t>
  </si>
  <si>
    <t>MEAN SQUARED ERROR</t>
  </si>
  <si>
    <t>ROOT MEAN SQUARED ERROR</t>
  </si>
  <si>
    <t>MEAN ABSOLUTE PERCENTAGE ERROR</t>
  </si>
  <si>
    <t>y</t>
  </si>
  <si>
    <t>Y ^</t>
  </si>
  <si>
    <t>SST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</si>
  <si>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</si>
  <si>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</si>
  <si>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</si>
  <si>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</si>
  <si>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</si>
  <si>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</si>
  <si>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</si>
  <si>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</si>
  <si>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</si>
  <si>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</si>
  <si>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</si>
  <si>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</si>
  <si>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</si>
  <si>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</si>
  <si>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</si>
  <si>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</si>
  <si>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</si>
  <si>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</si>
  <si>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</si>
  <si>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</si>
  <si>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</si>
  <si>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</si>
  <si>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</si>
  <si>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</si>
  <si>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PE (IN LAKHS)</t>
  </si>
  <si>
    <t>Y (1000 UNITS)</t>
  </si>
  <si>
    <t>SLR</t>
  </si>
  <si>
    <t xml:space="preserve">UNITS = -0.0172413793103434 + 1.43103448275862 * PE </t>
  </si>
  <si>
    <t>CORRELATION</t>
  </si>
  <si>
    <t>r</t>
  </si>
  <si>
    <t>Value b/w -1 TO +1</t>
  </si>
  <si>
    <t>POSITIVE</t>
  </si>
  <si>
    <t>SLR MODEL</t>
  </si>
  <si>
    <t>INFERENCE MODEL</t>
  </si>
  <si>
    <t>y = beta0 + beta 1 * PE</t>
  </si>
  <si>
    <t>PREDICTIVE MODEL</t>
  </si>
  <si>
    <t>PREDICTIONS</t>
  </si>
  <si>
    <t>CORRELATION SQUARED</t>
  </si>
  <si>
    <t>T SQUARED</t>
  </si>
  <si>
    <t>VALUE B/W -1 TO +1</t>
  </si>
  <si>
    <t>0 &amp; 1 --&gt; [0,1]</t>
  </si>
  <si>
    <t>0.05 or 5%</t>
  </si>
  <si>
    <t>LOWER THE P-VALUE THE BETTER IS THE SIGNIFICANCE</t>
  </si>
  <si>
    <t>HYPOTHESIS:</t>
  </si>
  <si>
    <t>ALT: PE DOES MATTER</t>
  </si>
  <si>
    <t>REJECT THE NULL HYPOTHESIS</t>
  </si>
  <si>
    <t xml:space="preserve">NULL: PE DOES NOT MATTER </t>
  </si>
  <si>
    <t>HIGHER THE p-VALUE LOWER THE SIGNIFICANCE</t>
  </si>
  <si>
    <t>WHEN THE P IS LOW (LOWER THAN FOR EXMPLE 5%), NULL WILL GO</t>
  </si>
  <si>
    <t>GIGO</t>
  </si>
  <si>
    <t>GARBAGE IN GARBAGE OUT</t>
  </si>
  <si>
    <t>ONLY ACCOUNTS FOR SIGNIFICANT VARIABLES</t>
  </si>
  <si>
    <t>MEAN SQUARED ERROR IS NOT ADDITIVE AND THUS NO SUM DISPALYED</t>
  </si>
  <si>
    <t>AVERAGE OF Y</t>
  </si>
  <si>
    <t>RSS  - EXPLAINED</t>
  </si>
  <si>
    <t>ESS - UNEXPLAINED</t>
  </si>
  <si>
    <t>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</si>
</sst>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5" fillId="0" borderId="3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2" xfId="0" applyFont="1" applyFill="1" applyBorder="1" applyAlignment="1"/>
    <xf numFmtId="0" fontId="3" fillId="0" borderId="0" xfId="0" applyFont="1"/>
    <xf numFmtId="0" fontId="5" fillId="2" borderId="3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2" xfId="0" applyFont="1" applyFill="1" applyBorder="1" applyAlignment="1"/>
    <xf numFmtId="167" fontId="3" fillId="0" borderId="0" xfId="0" applyNumberFormat="1" applyFont="1"/>
    <xf numFmtId="167" fontId="3" fillId="0" borderId="0" xfId="0" applyNumberFormat="1" applyFont="1" applyFill="1" applyBorder="1" applyAlignment="1"/>
    <xf numFmtId="167" fontId="3" fillId="2" borderId="0" xfId="0" applyNumberFormat="1" applyFont="1" applyFill="1"/>
    <xf numFmtId="167" fontId="3" fillId="2" borderId="0" xfId="0" applyNumberFormat="1" applyFont="1" applyFill="1" applyBorder="1" applyAlignment="1"/>
    <xf numFmtId="0" fontId="4" fillId="2" borderId="3" xfId="0" applyFont="1" applyFill="1" applyBorder="1" applyAlignment="1">
      <alignment horizontal="center"/>
    </xf>
    <xf numFmtId="0" fontId="0" fillId="2" borderId="0" xfId="0" applyFill="1" applyBorder="1" applyAlignment="1"/>
    <xf numFmtId="0" fontId="6" fillId="2" borderId="2" xfId="0" applyFont="1" applyFill="1" applyBorder="1" applyAlignment="1"/>
    <xf numFmtId="0" fontId="2" fillId="2" borderId="2" xfId="0" applyFont="1" applyFill="1" applyBorder="1" applyAlignment="1"/>
    <xf numFmtId="0" fontId="3" fillId="2" borderId="0" xfId="0" applyFont="1" applyFill="1"/>
    <xf numFmtId="0" fontId="6" fillId="0" borderId="2" xfId="0" applyFont="1" applyFill="1" applyBorder="1" applyAlignment="1"/>
    <xf numFmtId="0" fontId="6" fillId="0" borderId="0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68087392978983"/>
          <c:y val="0.17634259259259263"/>
          <c:w val="0.7927310966524102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'DAY 2 - 2'!$C$1</c:f>
              <c:strCache>
                <c:ptCount val="1"/>
                <c:pt idx="0">
                  <c:v>Y (1000 UNITS)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'DAY 2 - 2'!$B$2:$B$8</c:f>
              <c:numCache>
                <c:formatCode>General</c:formatCode>
                <c:ptCount val="7"/>
                <c:pt idx="0">
                  <c:v>3</c:v>
                </c:pt>
                <c:pt idx="1">
                  <c:v>10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5</c:v>
                </c:pt>
                <c:pt idx="6">
                  <c:v>11</c:v>
                </c:pt>
              </c:numCache>
            </c:numRef>
          </c:xVal>
          <c:yVal>
            <c:numRef>
              <c:f>'DAY 2 - 2'!$C$2:$C$8</c:f>
              <c:numCache>
                <c:formatCode>General</c:formatCode>
                <c:ptCount val="7"/>
                <c:pt idx="0">
                  <c:v>4</c:v>
                </c:pt>
                <c:pt idx="1">
                  <c:v>14</c:v>
                </c:pt>
                <c:pt idx="2">
                  <c:v>5</c:v>
                </c:pt>
                <c:pt idx="3">
                  <c:v>12</c:v>
                </c:pt>
                <c:pt idx="4">
                  <c:v>13</c:v>
                </c:pt>
                <c:pt idx="5">
                  <c:v>7</c:v>
                </c:pt>
                <c:pt idx="6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BE-4197-B121-F3C1A9967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705743"/>
        <c:axId val="1915704783"/>
      </c:scatterChart>
      <c:valAx>
        <c:axId val="191570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04783"/>
        <c:crosses val="autoZero"/>
        <c:crossBetween val="midCat"/>
      </c:valAx>
      <c:valAx>
        <c:axId val="191570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0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59871</xdr:colOff>
      <xdr:row>2</xdr:row>
      <xdr:rowOff>13607</xdr:rowOff>
    </xdr:from>
    <xdr:to>
      <xdr:col>14</xdr:col>
      <xdr:colOff>217713</xdr:colOff>
      <xdr:row>17</xdr:row>
      <xdr:rowOff>166007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2036E-2041-B47A-4D70-1FD29EAFC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79B0-726E-4F4F-A075-A7A460FF8BDD}">
  <dimension ref="A1:L44"/>
  <sheetViews>
    <sheetView zoomScale="120" zoomScaleNormal="120" workbookViewId="0">
      <selection activeCell="K1" sqref="K1:K1048576"/>
    </sheetView>
  </sheetViews>
  <sheetFormatPr defaultRowHeight="14.4" x14ac:dyDescent="0.3"/>
  <cols>
    <col min="8" max="8" width="34.33203125" style="2" bestFit="1" customWidth="1"/>
    <col min="9" max="9" width="13.88671875" style="2" customWidth="1"/>
    <col min="10" max="10" width="18.77734375" style="2" bestFit="1" customWidth="1"/>
  </cols>
  <sheetData>
    <row r="1" spans="1:12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7</v>
      </c>
      <c r="H1" s="5" t="s">
        <v>5</v>
      </c>
      <c r="I1" s="5" t="s">
        <v>6</v>
      </c>
      <c r="J1" s="5" t="s">
        <v>8</v>
      </c>
      <c r="K1" s="4" t="s">
        <v>9</v>
      </c>
    </row>
    <row r="2" spans="1:12" x14ac:dyDescent="0.3">
      <c r="A2">
        <v>1</v>
      </c>
      <c r="B2" s="4"/>
      <c r="C2" s="4"/>
      <c r="D2" s="4"/>
      <c r="E2" s="4"/>
      <c r="F2" s="4"/>
      <c r="G2" s="4"/>
      <c r="H2" s="5"/>
      <c r="I2" s="5"/>
      <c r="J2" s="5"/>
      <c r="K2" s="4" t="s">
        <v>10</v>
      </c>
      <c r="L2" t="s">
        <v>13</v>
      </c>
    </row>
    <row r="3" spans="1:12" x14ac:dyDescent="0.3">
      <c r="A3">
        <v>2</v>
      </c>
      <c r="B3" s="4"/>
      <c r="C3" s="4"/>
      <c r="D3" s="4"/>
      <c r="E3" s="4"/>
      <c r="F3" s="4"/>
      <c r="G3" s="4"/>
      <c r="H3" s="5"/>
      <c r="I3" s="5"/>
      <c r="J3" s="5"/>
      <c r="K3" s="4" t="s">
        <v>11</v>
      </c>
      <c r="L3" t="s">
        <v>14</v>
      </c>
    </row>
    <row r="4" spans="1:12" x14ac:dyDescent="0.3">
      <c r="A4">
        <v>3</v>
      </c>
      <c r="B4" s="4"/>
      <c r="C4" s="4"/>
      <c r="D4" s="4"/>
      <c r="E4" s="4"/>
      <c r="F4" s="4"/>
      <c r="G4" s="4"/>
      <c r="H4" s="5"/>
      <c r="I4" s="5"/>
      <c r="J4" s="5"/>
      <c r="K4" s="4" t="s">
        <v>11</v>
      </c>
      <c r="L4" t="s">
        <v>15</v>
      </c>
    </row>
    <row r="5" spans="1:12" x14ac:dyDescent="0.3">
      <c r="A5">
        <v>4</v>
      </c>
      <c r="B5" s="4"/>
      <c r="C5" s="4"/>
      <c r="D5" s="4"/>
      <c r="E5" s="4"/>
      <c r="F5" s="4"/>
      <c r="G5" s="4"/>
      <c r="H5" s="5"/>
      <c r="I5" s="5"/>
      <c r="J5" s="5"/>
      <c r="K5" s="4" t="s">
        <v>10</v>
      </c>
    </row>
    <row r="6" spans="1:12" x14ac:dyDescent="0.3">
      <c r="A6">
        <v>5</v>
      </c>
      <c r="B6" s="4"/>
      <c r="C6" s="4"/>
      <c r="D6" s="4"/>
      <c r="E6" s="4"/>
      <c r="F6" s="4"/>
      <c r="G6" s="4"/>
      <c r="H6" s="5"/>
      <c r="I6" s="5"/>
      <c r="J6" s="5"/>
      <c r="K6" s="4"/>
    </row>
    <row r="7" spans="1:12" x14ac:dyDescent="0.3">
      <c r="A7">
        <v>6</v>
      </c>
      <c r="B7" s="4"/>
      <c r="C7" s="4"/>
      <c r="D7" s="4"/>
      <c r="E7" s="4"/>
      <c r="F7" s="4"/>
      <c r="G7" s="4"/>
      <c r="H7" s="5"/>
      <c r="I7" s="5"/>
      <c r="J7" s="5"/>
      <c r="K7" s="4"/>
    </row>
    <row r="8" spans="1:12" x14ac:dyDescent="0.3">
      <c r="A8">
        <v>7</v>
      </c>
      <c r="B8" s="4"/>
      <c r="C8" s="4"/>
      <c r="D8" s="4"/>
      <c r="E8" s="4"/>
      <c r="F8" s="4"/>
      <c r="G8" s="4"/>
      <c r="H8" s="5"/>
      <c r="I8" s="5"/>
      <c r="J8" s="5"/>
      <c r="K8" s="4">
        <v>1000</v>
      </c>
    </row>
    <row r="9" spans="1:12" x14ac:dyDescent="0.3">
      <c r="A9">
        <v>8</v>
      </c>
      <c r="B9" s="4"/>
      <c r="C9" s="4"/>
      <c r="D9" s="4"/>
      <c r="E9" s="4"/>
      <c r="F9" s="4"/>
      <c r="G9" s="4"/>
      <c r="H9" s="5"/>
      <c r="I9" s="5"/>
      <c r="J9" s="5"/>
      <c r="K9" s="4">
        <v>1999.88</v>
      </c>
    </row>
    <row r="10" spans="1:12" x14ac:dyDescent="0.3">
      <c r="A10">
        <v>9</v>
      </c>
      <c r="B10" s="4"/>
      <c r="C10" s="4"/>
      <c r="D10" s="4"/>
      <c r="E10" s="4"/>
      <c r="F10" s="4"/>
      <c r="G10" s="4"/>
      <c r="H10" s="5"/>
      <c r="I10" s="5"/>
      <c r="J10" s="5"/>
      <c r="K10" s="4"/>
    </row>
    <row r="11" spans="1:12" x14ac:dyDescent="0.3">
      <c r="A11">
        <v>10</v>
      </c>
      <c r="B11" s="4"/>
      <c r="C11" s="4"/>
      <c r="D11" s="4"/>
      <c r="E11" s="4"/>
      <c r="F11" s="4"/>
      <c r="G11" s="4"/>
      <c r="H11" s="5"/>
      <c r="I11" s="5"/>
      <c r="J11" s="5"/>
      <c r="K11" s="4"/>
    </row>
    <row r="12" spans="1:12" x14ac:dyDescent="0.3">
      <c r="A12">
        <v>11</v>
      </c>
      <c r="B12" s="4"/>
      <c r="C12" s="4"/>
      <c r="D12" s="4"/>
      <c r="E12" s="4"/>
      <c r="F12" s="4"/>
      <c r="G12" s="4"/>
      <c r="H12" s="5"/>
      <c r="I12" s="5"/>
      <c r="J12" s="5"/>
      <c r="K12" s="4"/>
    </row>
    <row r="13" spans="1:12" x14ac:dyDescent="0.3">
      <c r="A13">
        <v>12</v>
      </c>
      <c r="B13" s="4"/>
      <c r="C13" s="4"/>
      <c r="D13" s="4"/>
      <c r="E13" s="4"/>
      <c r="F13" s="4"/>
      <c r="G13" s="4"/>
      <c r="H13" s="5"/>
      <c r="I13" s="5"/>
      <c r="J13" s="5"/>
      <c r="K13" s="4"/>
    </row>
    <row r="14" spans="1:12" x14ac:dyDescent="0.3">
      <c r="A14">
        <v>13</v>
      </c>
      <c r="B14" s="4"/>
      <c r="C14" s="4"/>
      <c r="D14" s="4"/>
      <c r="E14" s="4"/>
      <c r="F14" s="4"/>
      <c r="G14" s="4"/>
      <c r="H14" s="5"/>
      <c r="I14" s="5"/>
      <c r="J14" s="5"/>
      <c r="K14" s="4"/>
    </row>
    <row r="15" spans="1:12" x14ac:dyDescent="0.3">
      <c r="A15">
        <v>14</v>
      </c>
      <c r="B15" s="4"/>
      <c r="C15" s="4"/>
      <c r="D15" s="4"/>
      <c r="E15" s="4"/>
      <c r="F15" s="4"/>
      <c r="G15" s="4"/>
      <c r="H15" s="5"/>
      <c r="I15" s="5"/>
      <c r="J15" s="5"/>
      <c r="K15" s="4"/>
    </row>
    <row r="16" spans="1:12" x14ac:dyDescent="0.3">
      <c r="A16">
        <v>15</v>
      </c>
      <c r="B16" s="4"/>
      <c r="C16" s="4"/>
      <c r="D16" s="4"/>
      <c r="E16" s="4"/>
      <c r="F16" s="4"/>
      <c r="G16" s="4"/>
      <c r="H16" s="5"/>
      <c r="I16" s="5"/>
      <c r="J16" s="5"/>
      <c r="K16" s="4"/>
    </row>
    <row r="17" spans="1:12" x14ac:dyDescent="0.3">
      <c r="A17">
        <v>16</v>
      </c>
    </row>
    <row r="18" spans="1:12" x14ac:dyDescent="0.3">
      <c r="A18">
        <v>17</v>
      </c>
      <c r="B18" s="1"/>
      <c r="C18" s="1"/>
      <c r="D18" s="1"/>
      <c r="E18" s="1"/>
      <c r="F18" s="1"/>
      <c r="G18" s="1"/>
      <c r="H18" s="3"/>
      <c r="I18" s="3"/>
      <c r="J18" s="3"/>
      <c r="K18" t="s">
        <v>12</v>
      </c>
    </row>
    <row r="20" spans="1:12" x14ac:dyDescent="0.3">
      <c r="F20" t="s">
        <v>16</v>
      </c>
      <c r="H20" s="2" t="s">
        <v>17</v>
      </c>
      <c r="K20" t="s">
        <v>18</v>
      </c>
    </row>
    <row r="21" spans="1:12" x14ac:dyDescent="0.3">
      <c r="F21">
        <v>100</v>
      </c>
      <c r="H21" s="2">
        <v>10</v>
      </c>
      <c r="K21">
        <v>670031</v>
      </c>
      <c r="L21" t="s">
        <v>19</v>
      </c>
    </row>
    <row r="22" spans="1:12" x14ac:dyDescent="0.3">
      <c r="F22">
        <v>120</v>
      </c>
      <c r="H22" s="2">
        <v>12</v>
      </c>
      <c r="K22">
        <v>670045</v>
      </c>
      <c r="L22" t="s">
        <v>20</v>
      </c>
    </row>
    <row r="23" spans="1:12" x14ac:dyDescent="0.3">
      <c r="F23">
        <v>130</v>
      </c>
      <c r="H23" s="2">
        <v>20</v>
      </c>
      <c r="K23">
        <v>670086</v>
      </c>
      <c r="L23" t="s">
        <v>21</v>
      </c>
    </row>
    <row r="25" spans="1:12" x14ac:dyDescent="0.3">
      <c r="F25">
        <f>AVERAGE(F21:F23)</f>
        <v>116.66666666666667</v>
      </c>
      <c r="H25" s="2">
        <f>AVERAGE(H21:H23)</f>
        <v>14</v>
      </c>
      <c r="K25">
        <f>AVERAGE(K21:K23)</f>
        <v>670054</v>
      </c>
    </row>
    <row r="26" spans="1:12" x14ac:dyDescent="0.3">
      <c r="F26">
        <f>_xlfn.STDEV.S(F21:F23)</f>
        <v>15.275252316519428</v>
      </c>
      <c r="H26" s="2">
        <f>_xlfn.STDEV.S(H21:H23)</f>
        <v>5.2915026221291814</v>
      </c>
      <c r="K26">
        <f>_xlfn.STDEV.S(K21:K23)</f>
        <v>28.583211855912904</v>
      </c>
    </row>
    <row r="28" spans="1:12" x14ac:dyDescent="0.3">
      <c r="F28" t="s">
        <v>24</v>
      </c>
      <c r="G28" t="s">
        <v>25</v>
      </c>
    </row>
    <row r="29" spans="1:12" x14ac:dyDescent="0.3">
      <c r="F29" t="s">
        <v>22</v>
      </c>
      <c r="G29" t="s">
        <v>23</v>
      </c>
      <c r="I29" s="2" t="s">
        <v>28</v>
      </c>
      <c r="J29" s="2" t="s">
        <v>29</v>
      </c>
    </row>
    <row r="31" spans="1:12" x14ac:dyDescent="0.3">
      <c r="F31" t="s">
        <v>26</v>
      </c>
      <c r="I31" s="2" t="s">
        <v>27</v>
      </c>
      <c r="K31" t="s">
        <v>30</v>
      </c>
    </row>
    <row r="34" spans="8:10" x14ac:dyDescent="0.3">
      <c r="H34" s="2" t="s">
        <v>31</v>
      </c>
      <c r="J34" s="2" t="s">
        <v>32</v>
      </c>
    </row>
    <row r="35" spans="8:10" x14ac:dyDescent="0.3">
      <c r="H35" s="2" t="s">
        <v>33</v>
      </c>
      <c r="I35" s="2" t="s">
        <v>34</v>
      </c>
    </row>
    <row r="37" spans="8:10" x14ac:dyDescent="0.3">
      <c r="H37" s="2" t="s">
        <v>35</v>
      </c>
      <c r="I37" s="2" t="s">
        <v>36</v>
      </c>
      <c r="J37" s="2" t="s">
        <v>37</v>
      </c>
    </row>
    <row r="39" spans="8:10" x14ac:dyDescent="0.3">
      <c r="H39" s="2" t="s">
        <v>24</v>
      </c>
      <c r="I39" s="2" t="s">
        <v>25</v>
      </c>
      <c r="J39" s="2" t="s">
        <v>41</v>
      </c>
    </row>
    <row r="40" spans="8:10" x14ac:dyDescent="0.3">
      <c r="H40" s="2" t="s">
        <v>38</v>
      </c>
      <c r="I40" s="2" t="s">
        <v>39</v>
      </c>
      <c r="J40" s="2" t="s">
        <v>40</v>
      </c>
    </row>
    <row r="41" spans="8:10" x14ac:dyDescent="0.3">
      <c r="H41" s="2">
        <v>100000</v>
      </c>
      <c r="I41" s="2">
        <v>30000</v>
      </c>
      <c r="J41" s="2">
        <v>70000</v>
      </c>
    </row>
    <row r="43" spans="8:10" x14ac:dyDescent="0.3">
      <c r="H43" s="2" t="s">
        <v>42</v>
      </c>
    </row>
    <row r="44" spans="8:10" x14ac:dyDescent="0.3">
      <c r="H44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263F-E49E-4A51-A3AD-50453D7BCFE5}">
  <dimension ref="A1:I10"/>
  <sheetViews>
    <sheetView zoomScale="140" zoomScaleNormal="140" workbookViewId="0">
      <selection activeCell="C15" sqref="C15"/>
    </sheetView>
  </sheetViews>
  <sheetFormatPr defaultRowHeight="14.4" x14ac:dyDescent="0.3"/>
  <cols>
    <col min="1" max="1" width="22.21875" style="2" customWidth="1"/>
    <col min="2" max="2" width="10.77734375" style="2" bestFit="1" customWidth="1"/>
    <col min="3" max="3" width="34.21875" style="2" customWidth="1"/>
    <col min="4" max="4" width="11.109375" style="2" bestFit="1" customWidth="1"/>
    <col min="5" max="5" width="11" style="2" customWidth="1"/>
    <col min="6" max="6" width="18.5546875" style="2" bestFit="1" customWidth="1"/>
    <col min="7" max="7" width="8.88671875" style="2"/>
    <col min="8" max="8" width="12.33203125" style="2" bestFit="1" customWidth="1"/>
    <col min="9" max="9" width="8.88671875" style="2"/>
  </cols>
  <sheetData>
    <row r="1" spans="1:8" x14ac:dyDescent="0.3">
      <c r="A1" s="2" t="s">
        <v>60</v>
      </c>
      <c r="B1" s="2" t="s">
        <v>61</v>
      </c>
    </row>
    <row r="2" spans="1:8" x14ac:dyDescent="0.3">
      <c r="A2" s="2" t="s">
        <v>45</v>
      </c>
      <c r="B2" s="2" t="s">
        <v>44</v>
      </c>
      <c r="C2" s="2" t="s">
        <v>46</v>
      </c>
      <c r="D2" s="2" t="s">
        <v>47</v>
      </c>
      <c r="E2" s="2" t="s">
        <v>48</v>
      </c>
      <c r="F2" s="2" t="s">
        <v>53</v>
      </c>
    </row>
    <row r="3" spans="1:8" x14ac:dyDescent="0.3">
      <c r="A3" s="2">
        <v>100</v>
      </c>
      <c r="B3" s="2">
        <v>110</v>
      </c>
      <c r="C3" s="2">
        <f>A3-B3</f>
        <v>-10</v>
      </c>
      <c r="D3" s="2">
        <f>ABS(C3)</f>
        <v>10</v>
      </c>
      <c r="E3" s="2">
        <f>C3*C3</f>
        <v>100</v>
      </c>
      <c r="F3" s="6">
        <f>D3/A3</f>
        <v>0.1</v>
      </c>
    </row>
    <row r="4" spans="1:8" x14ac:dyDescent="0.3">
      <c r="A4" s="2">
        <v>90</v>
      </c>
      <c r="B4" s="2">
        <v>105</v>
      </c>
      <c r="C4" s="2">
        <f>A4-B4</f>
        <v>-15</v>
      </c>
      <c r="D4" s="2">
        <f t="shared" ref="D4:D5" si="0">ABS(C4)</f>
        <v>15</v>
      </c>
      <c r="E4" s="2">
        <f t="shared" ref="E4:E5" si="1">C4*C4</f>
        <v>225</v>
      </c>
      <c r="F4" s="6">
        <f t="shared" ref="F4:F5" si="2">D4/A4</f>
        <v>0.16666666666666666</v>
      </c>
    </row>
    <row r="5" spans="1:8" x14ac:dyDescent="0.3">
      <c r="A5" s="2">
        <v>105</v>
      </c>
      <c r="B5" s="2">
        <v>99</v>
      </c>
      <c r="C5" s="2">
        <f>A5-B5</f>
        <v>6</v>
      </c>
      <c r="D5" s="2">
        <f t="shared" si="0"/>
        <v>6</v>
      </c>
      <c r="E5" s="2">
        <f t="shared" si="1"/>
        <v>36</v>
      </c>
      <c r="F5" s="6">
        <f t="shared" si="2"/>
        <v>5.7142857142857141E-2</v>
      </c>
    </row>
    <row r="7" spans="1:8" x14ac:dyDescent="0.3">
      <c r="C7" s="2" t="s">
        <v>56</v>
      </c>
      <c r="D7" s="2" t="s">
        <v>54</v>
      </c>
      <c r="E7" s="2">
        <f>SUM(E3:E5)</f>
        <v>361</v>
      </c>
      <c r="G7" s="2" t="s">
        <v>51</v>
      </c>
      <c r="H7" s="2" t="s">
        <v>52</v>
      </c>
    </row>
    <row r="8" spans="1:8" x14ac:dyDescent="0.3">
      <c r="A8" s="2">
        <f>AVERAGE(A3:A5)</f>
        <v>98.333333333333329</v>
      </c>
      <c r="C8" s="2" t="s">
        <v>57</v>
      </c>
      <c r="D8" s="2" t="s">
        <v>49</v>
      </c>
      <c r="E8" s="2">
        <f>AVERAGE(E3:E5)</f>
        <v>120.33333333333333</v>
      </c>
    </row>
    <row r="9" spans="1:8" x14ac:dyDescent="0.3">
      <c r="C9" s="2" t="s">
        <v>58</v>
      </c>
      <c r="D9" s="8" t="s">
        <v>50</v>
      </c>
      <c r="E9" s="2">
        <f>SQRT(E8)</f>
        <v>10.969655114602888</v>
      </c>
      <c r="F9" s="2">
        <f>E9*E9</f>
        <v>120.33333333333331</v>
      </c>
    </row>
    <row r="10" spans="1:8" x14ac:dyDescent="0.3">
      <c r="A10" s="2" t="s">
        <v>62</v>
      </c>
      <c r="C10" s="2" t="s">
        <v>59</v>
      </c>
      <c r="E10" s="2" t="s">
        <v>55</v>
      </c>
      <c r="F10" s="7">
        <f>AVERAGE(F3:F5)</f>
        <v>0.10793650793650794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7C7E-E0B8-49A3-AABB-1C27DD76E0A9}">
  <dimension ref="A1:I27"/>
  <sheetViews>
    <sheetView topLeftCell="A3" zoomScale="130" zoomScaleNormal="130" workbookViewId="0">
      <selection activeCell="E11" sqref="E11"/>
    </sheetView>
  </sheetViews>
  <sheetFormatPr defaultColWidth="25.5546875" defaultRowHeight="14.4" x14ac:dyDescent="0.3"/>
  <cols>
    <col min="2" max="2" width="33.5546875" customWidth="1"/>
    <col min="8" max="9" width="0" hidden="1" customWidth="1"/>
  </cols>
  <sheetData>
    <row r="1" spans="1:9" x14ac:dyDescent="0.3">
      <c r="A1" t="s">
        <v>63</v>
      </c>
    </row>
    <row r="2" spans="1:9" ht="15" thickBot="1" x14ac:dyDescent="0.35"/>
    <row r="3" spans="1:9" x14ac:dyDescent="0.3">
      <c r="A3" s="12" t="s">
        <v>64</v>
      </c>
      <c r="B3" s="12"/>
    </row>
    <row r="4" spans="1:9" x14ac:dyDescent="0.3">
      <c r="A4" s="9" t="s">
        <v>65</v>
      </c>
      <c r="B4" s="21">
        <v>0.97870825857089983</v>
      </c>
      <c r="C4" t="s">
        <v>102</v>
      </c>
    </row>
    <row r="5" spans="1:9" x14ac:dyDescent="0.3">
      <c r="A5" s="14" t="s">
        <v>66</v>
      </c>
      <c r="B5" s="21">
        <v>0.95786985539488323</v>
      </c>
      <c r="C5" s="16">
        <f>B4*B4</f>
        <v>0.95786985539488334</v>
      </c>
      <c r="D5" t="s">
        <v>103</v>
      </c>
      <c r="E5" s="20">
        <f>1-B5</f>
        <v>4.2130144605116771E-2</v>
      </c>
    </row>
    <row r="6" spans="1:9" x14ac:dyDescent="0.3">
      <c r="A6" s="9" t="s">
        <v>67</v>
      </c>
      <c r="B6" s="23">
        <v>0.94944382647386005</v>
      </c>
      <c r="C6" t="s">
        <v>103</v>
      </c>
      <c r="D6" t="s">
        <v>114</v>
      </c>
    </row>
    <row r="7" spans="1:9" x14ac:dyDescent="0.3">
      <c r="A7" s="9" t="s">
        <v>68</v>
      </c>
      <c r="B7" s="21">
        <v>1.0221680811915899</v>
      </c>
      <c r="C7" s="20">
        <f>SQRT(D13)</f>
        <v>1.0221680811915899</v>
      </c>
    </row>
    <row r="8" spans="1:9" ht="15" thickBot="1" x14ac:dyDescent="0.35">
      <c r="A8" s="10" t="s">
        <v>69</v>
      </c>
      <c r="B8" s="10">
        <v>7</v>
      </c>
      <c r="D8" t="s">
        <v>112</v>
      </c>
      <c r="E8" s="16" t="s">
        <v>113</v>
      </c>
    </row>
    <row r="10" spans="1:9" ht="15" thickBot="1" x14ac:dyDescent="0.35">
      <c r="A10" t="s">
        <v>70</v>
      </c>
      <c r="E10">
        <f>D12/D13</f>
        <v>113.67986798679867</v>
      </c>
    </row>
    <row r="11" spans="1:9" x14ac:dyDescent="0.3">
      <c r="A11" s="11"/>
      <c r="B11" s="11" t="s">
        <v>75</v>
      </c>
      <c r="C11" s="11" t="s">
        <v>76</v>
      </c>
      <c r="D11" s="11" t="s">
        <v>77</v>
      </c>
      <c r="E11" s="11" t="s">
        <v>78</v>
      </c>
      <c r="F11" s="13" t="s">
        <v>79</v>
      </c>
    </row>
    <row r="12" spans="1:9" x14ac:dyDescent="0.3">
      <c r="A12" s="9" t="s">
        <v>71</v>
      </c>
      <c r="B12" s="9">
        <v>1</v>
      </c>
      <c r="C12" s="30">
        <v>118.77586206896552</v>
      </c>
      <c r="D12" s="9">
        <v>118.77586206896552</v>
      </c>
      <c r="E12" s="9">
        <v>113.67986798679867</v>
      </c>
      <c r="F12" s="14">
        <v>1.2560589689982574E-4</v>
      </c>
    </row>
    <row r="13" spans="1:9" x14ac:dyDescent="0.3">
      <c r="A13" s="9" t="s">
        <v>72</v>
      </c>
      <c r="B13" s="9">
        <v>5</v>
      </c>
      <c r="C13" s="14">
        <v>5.224137931034484</v>
      </c>
      <c r="D13" s="14">
        <v>1.0448275862068968</v>
      </c>
      <c r="E13" s="9"/>
      <c r="F13" s="9"/>
    </row>
    <row r="14" spans="1:9" ht="15" thickBot="1" x14ac:dyDescent="0.35">
      <c r="A14" s="10" t="s">
        <v>73</v>
      </c>
      <c r="B14" s="10">
        <v>6</v>
      </c>
      <c r="C14" s="10">
        <v>124</v>
      </c>
      <c r="D14" s="15" t="s">
        <v>115</v>
      </c>
      <c r="E14" s="10"/>
      <c r="F14" s="10"/>
    </row>
    <row r="15" spans="1:9" ht="15" thickBot="1" x14ac:dyDescent="0.35"/>
    <row r="16" spans="1:9" x14ac:dyDescent="0.3">
      <c r="A16" s="13"/>
      <c r="B16" s="17" t="s">
        <v>80</v>
      </c>
      <c r="C16" s="13" t="s">
        <v>68</v>
      </c>
      <c r="D16" s="13" t="s">
        <v>81</v>
      </c>
      <c r="E16" s="13" t="s">
        <v>82</v>
      </c>
      <c r="F16" s="17" t="s">
        <v>83</v>
      </c>
      <c r="G16" s="24" t="s">
        <v>84</v>
      </c>
      <c r="H16" s="11" t="s">
        <v>85</v>
      </c>
      <c r="I16" s="11" t="s">
        <v>86</v>
      </c>
    </row>
    <row r="17" spans="1:9" x14ac:dyDescent="0.3">
      <c r="A17" s="14" t="s">
        <v>74</v>
      </c>
      <c r="B17" s="18">
        <v>-1.7241379310343401E-2</v>
      </c>
      <c r="C17" s="14">
        <v>1.0158544440033683</v>
      </c>
      <c r="D17" s="14">
        <v>-1.6972293040720558E-2</v>
      </c>
      <c r="E17" s="14">
        <v>0.98711515035036423</v>
      </c>
      <c r="F17" s="18">
        <v>-2.6285783607158302</v>
      </c>
      <c r="G17" s="25">
        <v>2.5940956020951433</v>
      </c>
      <c r="H17" s="9">
        <v>-2.6285783607158302</v>
      </c>
      <c r="I17" s="9">
        <v>2.5940956020951433</v>
      </c>
    </row>
    <row r="18" spans="1:9" ht="15" thickBot="1" x14ac:dyDescent="0.35">
      <c r="A18" s="15" t="s">
        <v>87</v>
      </c>
      <c r="B18" s="19">
        <v>1.4310344827586201</v>
      </c>
      <c r="C18" s="15">
        <v>0.13421724452433492</v>
      </c>
      <c r="D18" s="15">
        <v>10.662076157428189</v>
      </c>
      <c r="E18" s="29">
        <v>1.2560589689982588E-4</v>
      </c>
      <c r="F18" s="26">
        <v>1.0860180719552075</v>
      </c>
      <c r="G18" s="27">
        <v>1.7760508935620336</v>
      </c>
      <c r="H18" s="10">
        <v>1.0860180719552075</v>
      </c>
      <c r="I18" s="10">
        <v>1.7760508935620336</v>
      </c>
    </row>
    <row r="19" spans="1:9" x14ac:dyDescent="0.3">
      <c r="A19" t="s">
        <v>24</v>
      </c>
      <c r="E19">
        <v>4.5600000000000002E-2</v>
      </c>
    </row>
    <row r="20" spans="1:9" x14ac:dyDescent="0.3">
      <c r="A20" t="s">
        <v>25</v>
      </c>
      <c r="E20">
        <v>0.78900000000000003</v>
      </c>
    </row>
    <row r="21" spans="1:9" x14ac:dyDescent="0.3">
      <c r="B21" t="s">
        <v>90</v>
      </c>
      <c r="E21" t="s">
        <v>104</v>
      </c>
      <c r="F21" s="28">
        <f>AVERAGE(F18:G18)</f>
        <v>1.4310344827586206</v>
      </c>
    </row>
    <row r="22" spans="1:9" x14ac:dyDescent="0.3">
      <c r="B22" t="s">
        <v>97</v>
      </c>
    </row>
    <row r="23" spans="1:9" x14ac:dyDescent="0.3">
      <c r="D23" s="16" t="s">
        <v>105</v>
      </c>
    </row>
    <row r="24" spans="1:9" x14ac:dyDescent="0.3">
      <c r="A24" s="16" t="s">
        <v>106</v>
      </c>
    </row>
    <row r="25" spans="1:9" x14ac:dyDescent="0.3">
      <c r="A25" s="16" t="s">
        <v>109</v>
      </c>
      <c r="B25" t="s">
        <v>108</v>
      </c>
      <c r="D25" s="16" t="s">
        <v>110</v>
      </c>
    </row>
    <row r="26" spans="1:9" x14ac:dyDescent="0.3">
      <c r="A26" s="16" t="s">
        <v>107</v>
      </c>
    </row>
    <row r="27" spans="1:9" x14ac:dyDescent="0.3">
      <c r="C27" s="16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E874-88B1-49EF-94D0-70669192CADB}">
  <dimension ref="A1:I16"/>
  <sheetViews>
    <sheetView tabSelected="1" zoomScale="140" zoomScaleNormal="140" workbookViewId="0">
      <selection activeCell="B1" sqref="B1:B9"/>
    </sheetView>
  </sheetViews>
  <sheetFormatPr defaultRowHeight="14.4" x14ac:dyDescent="0.3"/>
  <cols>
    <col min="2" max="2" width="50.21875" bestFit="1" customWidth="1"/>
    <col min="3" max="3" width="13.6640625" bestFit="1" customWidth="1"/>
    <col min="4" max="4" width="14.77734375" customWidth="1"/>
    <col min="5" max="5" width="17.21875" bestFit="1" customWidth="1"/>
    <col min="6" max="6" width="17.77734375" bestFit="1" customWidth="1"/>
    <col min="7" max="7" width="8.88671875" style="2"/>
  </cols>
  <sheetData>
    <row r="1" spans="1:9" x14ac:dyDescent="0.3">
      <c r="B1" s="8" t="s">
        <v>87</v>
      </c>
      <c r="C1" s="8" t="s">
        <v>88</v>
      </c>
      <c r="D1" s="16" t="s">
        <v>99</v>
      </c>
      <c r="E1" t="s">
        <v>117</v>
      </c>
      <c r="F1" t="s">
        <v>118</v>
      </c>
      <c r="G1" s="2" t="s">
        <v>119</v>
      </c>
    </row>
    <row r="2" spans="1:9" x14ac:dyDescent="0.3">
      <c r="B2" s="2">
        <v>3</v>
      </c>
      <c r="C2" s="2">
        <v>4</v>
      </c>
      <c r="D2">
        <f>-0.0172413793103434 + 1.43103448275862 * B2</f>
        <v>4.2758620689655169</v>
      </c>
      <c r="E2">
        <f>(D2-$C$9)^2</f>
        <v>32.765755053507732</v>
      </c>
      <c r="F2">
        <f>(C2-D2)^2</f>
        <v>7.6099881093935604E-2</v>
      </c>
      <c r="G2" s="2">
        <f>(C2-$C$9)^2</f>
        <v>36</v>
      </c>
    </row>
    <row r="3" spans="1:9" x14ac:dyDescent="0.3">
      <c r="B3" s="2">
        <v>10</v>
      </c>
      <c r="C3" s="2">
        <v>14</v>
      </c>
      <c r="D3">
        <f t="shared" ref="D3:D8" si="0">-0.0172413793103434 + 1.43103448275862 * B3</f>
        <v>14.293103448275858</v>
      </c>
      <c r="E3">
        <f t="shared" ref="E3:E8" si="1">(D3-$C$9)^2</f>
        <v>18.430737217598061</v>
      </c>
      <c r="F3">
        <f t="shared" ref="F3:F12" si="2">(C3-D3)^2</f>
        <v>8.5909631391198366E-2</v>
      </c>
      <c r="G3" s="2">
        <f t="shared" ref="G3:G7" si="3">(C3-$C$9)^2</f>
        <v>16</v>
      </c>
    </row>
    <row r="4" spans="1:9" x14ac:dyDescent="0.3">
      <c r="B4" s="2">
        <v>4</v>
      </c>
      <c r="C4" s="2">
        <v>5</v>
      </c>
      <c r="D4">
        <f t="shared" si="0"/>
        <v>5.706896551724137</v>
      </c>
      <c r="E4">
        <f t="shared" si="1"/>
        <v>18.430737217598104</v>
      </c>
      <c r="F4">
        <f t="shared" si="2"/>
        <v>0.49970273483947553</v>
      </c>
      <c r="G4" s="2">
        <f t="shared" si="3"/>
        <v>25</v>
      </c>
    </row>
    <row r="5" spans="1:9" x14ac:dyDescent="0.3">
      <c r="B5" s="2">
        <v>7</v>
      </c>
      <c r="C5" s="2">
        <v>12</v>
      </c>
      <c r="D5">
        <f t="shared" si="0"/>
        <v>9.9999999999999982</v>
      </c>
      <c r="E5">
        <f t="shared" si="1"/>
        <v>3.1554436208840472E-30</v>
      </c>
      <c r="F5">
        <f t="shared" si="2"/>
        <v>4.0000000000000071</v>
      </c>
      <c r="G5" s="2">
        <f t="shared" si="3"/>
        <v>4</v>
      </c>
    </row>
    <row r="6" spans="1:9" x14ac:dyDescent="0.3">
      <c r="B6" s="2">
        <v>9</v>
      </c>
      <c r="C6" s="2">
        <v>13</v>
      </c>
      <c r="D6">
        <f t="shared" si="0"/>
        <v>12.862068965517237</v>
      </c>
      <c r="E6">
        <f t="shared" si="1"/>
        <v>8.1914387633769046</v>
      </c>
      <c r="F6">
        <f t="shared" si="2"/>
        <v>1.902497027348525E-2</v>
      </c>
      <c r="G6" s="2">
        <f t="shared" si="3"/>
        <v>9</v>
      </c>
    </row>
    <row r="7" spans="1:9" x14ac:dyDescent="0.3">
      <c r="B7" s="2">
        <v>5</v>
      </c>
      <c r="C7" s="2">
        <v>7</v>
      </c>
      <c r="D7">
        <f t="shared" si="0"/>
        <v>7.1379310344827571</v>
      </c>
      <c r="E7">
        <f t="shared" si="1"/>
        <v>8.1914387633769401</v>
      </c>
      <c r="F7">
        <f t="shared" si="2"/>
        <v>1.9024970273483533E-2</v>
      </c>
      <c r="G7" s="2">
        <f t="shared" si="3"/>
        <v>9</v>
      </c>
    </row>
    <row r="8" spans="1:9" x14ac:dyDescent="0.3">
      <c r="B8" s="2">
        <v>11</v>
      </c>
      <c r="C8" s="2">
        <v>15</v>
      </c>
      <c r="D8">
        <f t="shared" si="0"/>
        <v>15.724137931034479</v>
      </c>
      <c r="E8">
        <f t="shared" si="1"/>
        <v>32.765755053507682</v>
      </c>
      <c r="F8">
        <f t="shared" si="2"/>
        <v>0.52437574316289537</v>
      </c>
      <c r="G8" s="2">
        <f>(C8-$C$9)^2</f>
        <v>25</v>
      </c>
      <c r="I8" s="8" t="s">
        <v>119</v>
      </c>
    </row>
    <row r="9" spans="1:9" x14ac:dyDescent="0.3">
      <c r="B9" s="2" t="s">
        <v>116</v>
      </c>
      <c r="C9" s="8">
        <f>AVERAGE(C2:C8)</f>
        <v>10</v>
      </c>
      <c r="E9" s="28">
        <f>SUM(E2:E8)</f>
        <v>118.77586206896544</v>
      </c>
      <c r="F9" s="28">
        <f>SUM(F2:F8)</f>
        <v>5.2241379310344813</v>
      </c>
      <c r="G9" s="28">
        <f>SUM(G2:G8)</f>
        <v>124</v>
      </c>
      <c r="I9" s="8">
        <f>SUM(E9:F9)</f>
        <v>123.99999999999991</v>
      </c>
    </row>
    <row r="10" spans="1:9" x14ac:dyDescent="0.3">
      <c r="B10" t="s">
        <v>89</v>
      </c>
    </row>
    <row r="11" spans="1:9" x14ac:dyDescent="0.3">
      <c r="A11" t="s">
        <v>92</v>
      </c>
      <c r="B11" t="s">
        <v>91</v>
      </c>
      <c r="C11" s="20">
        <f>CORREL(B2:B8,C2:C8)</f>
        <v>0.97870825857089983</v>
      </c>
      <c r="D11" t="s">
        <v>94</v>
      </c>
      <c r="E11" t="s">
        <v>93</v>
      </c>
      <c r="F11" t="e">
        <f t="shared" si="2"/>
        <v>#VALUE!</v>
      </c>
    </row>
    <row r="12" spans="1:9" x14ac:dyDescent="0.3">
      <c r="B12" t="s">
        <v>100</v>
      </c>
      <c r="C12" s="22">
        <f>C11*C11</f>
        <v>0.95786985539488334</v>
      </c>
      <c r="D12">
        <f>C12*100</f>
        <v>95.786985539488327</v>
      </c>
      <c r="E12" t="s">
        <v>101</v>
      </c>
      <c r="F12">
        <f t="shared" si="2"/>
        <v>8992.5611814271761</v>
      </c>
    </row>
    <row r="14" spans="1:9" x14ac:dyDescent="0.3">
      <c r="B14" s="16" t="s">
        <v>90</v>
      </c>
      <c r="F14" t="s">
        <v>95</v>
      </c>
      <c r="H14" s="16" t="s">
        <v>96</v>
      </c>
    </row>
    <row r="15" spans="1:9" x14ac:dyDescent="0.3">
      <c r="D15" s="16"/>
      <c r="E15" s="16"/>
    </row>
    <row r="16" spans="1:9" x14ac:dyDescent="0.3">
      <c r="C16" s="16">
        <f xml:space="preserve"> D2</f>
        <v>4.2758620689655169</v>
      </c>
      <c r="D16" s="16" t="s">
        <v>98</v>
      </c>
      <c r="E16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1 - 1</vt:lpstr>
      <vt:lpstr>DAY 2 - 1</vt:lpstr>
      <vt:lpstr>REG OUTPUT</vt:lpstr>
      <vt:lpstr>DAY 2 - 2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Manjunatha G</dc:creator>
  <cp:lastModifiedBy>Manjunatha G</cp:lastModifiedBy>
  <dcterms:created xsi:type="dcterms:W3CDTF">2023-07-29T13:09:29Z</dcterms:created>
  <dcterms:modified xsi:type="dcterms:W3CDTF">2025-11-16T07:33:28Z</dcterms:modified>
</cp:coreProperties>
</file>